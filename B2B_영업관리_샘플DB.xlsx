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처" sheetId="1" state="visible" r:id="rId3"/>
    <sheet name="담당자" sheetId="2" state="visible" r:id="rId4"/>
    <sheet name="영업기회" sheetId="3" state="visible" r:id="rId5"/>
    <sheet name="영업활동" sheetId="4" state="visible" r:id="rId6"/>
    <sheet name="제품서비스" sheetId="5" state="visible" r:id="rId7"/>
    <sheet name="파이프라인요약" sheetId="6" state="visible" r:id="rId8"/>
  </sheets>
  <definedNames>
    <definedName function="false" hidden="true" localSheetId="0" name="_xlnm._FilterDatabase" vbProcedure="false">거래처!$A$1:$M$13</definedName>
    <definedName function="false" hidden="true" localSheetId="1" name="_xlnm._FilterDatabase" vbProcedure="false">담당자!$A$1:$J$19</definedName>
    <definedName function="false" hidden="true" localSheetId="2" name="_xlnm._FilterDatabase" vbProcedure="false">영업기회!$A$1:$M$15</definedName>
    <definedName function="false" hidden="true" localSheetId="3" name="_xlnm._FilterDatabase" vbProcedure="false">영업활동!$A$1:$J$21</definedName>
    <definedName function="false" hidden="true" localSheetId="4" name="_xlnm._FilterDatabase" vbProcedure="false">제품서비스!$A$1:$F$15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<sst xmlns="http://schemas.openxmlformats.org/spreadsheetml/2006/main" count="779" uniqueCount="487">
  <si>
    <r>
      <rPr>
        <b val="true"/>
        <sz val="11"/>
        <color rgb="FFFFFFFF"/>
        <rFont val="Noto Sans CJK SC"/>
        <family val="2"/>
      </rPr>
      <t xml:space="preserve">거래처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</si>
  <si>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회사명</t>
  </si>
  <si>
    <t xml:space="preserve">산업분류</t>
  </si>
  <si>
    <t xml:space="preserve">대표자</t>
  </si>
  <si>
    <t xml:space="preserve">설립연도</t>
  </si>
  <si>
    <t xml:space="preserve">직원수</t>
  </si>
  <si>
    <r>
      <rPr>
        <b val="true"/>
        <sz val="11"/>
        <color rgb="FFFFFFFF"/>
        <rFont val="Noto Sans CJK SC"/>
        <family val="2"/>
      </rPr>
      <t xml:space="preserve">연매출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억원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</si>
  <si>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등급</t>
  </si>
  <si>
    <t xml:space="preserve">지역</t>
  </si>
  <si>
    <t xml:space="preserve">주소</t>
  </si>
  <si>
    <t xml:space="preserve">대표전화</t>
  </si>
  <si>
    <t xml:space="preserve">웹사이트</t>
  </si>
  <si>
    <t xml:space="preserve">등록일</t>
  </si>
  <si>
    <t xml:space="preserve">ACC-001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</si>
  <si>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테크노바</t>
    </r>
  </si>
  <si>
    <t xml:space="preserve">소프트웨어</t>
  </si>
  <si>
    <t xml:space="preserve">김정훈</t>
  </si>
  <si>
    <t xml:space="preserve">A</t>
  </si>
  <si>
    <t xml:space="preserve">서울</t>
  </si>
  <si>
    <r>
      <rPr>
        <sz val="10"/>
        <rFont val="Noto Sans CJK SC"/>
        <family val="2"/>
      </rPr>
      <t xml:space="preserve">서울시 강남구 테헤란로 </t>
    </r>
    <r>
      <rPr>
        <sz val="10"/>
        <rFont val="Arial"/>
        <family val="0"/>
        <charset val="1"/>
      </rPr>
      <t xml:space="preserve">152</t>
    </r>
  </si>
  <si>
    <t xml:space="preserve">02-555-1234</t>
  </si>
  <si>
    <t xml:space="preserve">www.technova.co.kr</t>
  </si>
  <si>
    <t xml:space="preserve">2023-01-15</t>
  </si>
  <si>
    <t xml:space="preserve">ACC-002</t>
  </si>
  <si>
    <t xml:space="preserve">스마트솔루션즈</t>
  </si>
  <si>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서비스</t>
    </r>
  </si>
  <si>
    <t xml:space="preserve">이미영</t>
  </si>
  <si>
    <t xml:space="preserve">B</t>
  </si>
  <si>
    <t xml:space="preserve">경기</t>
  </si>
  <si>
    <r>
      <rPr>
        <sz val="10"/>
        <rFont val="Noto Sans CJK SC"/>
        <family val="2"/>
      </rPr>
      <t xml:space="preserve">경기도 성남시 분당구 판교로 </t>
    </r>
    <r>
      <rPr>
        <sz val="10"/>
        <rFont val="Arial"/>
        <family val="0"/>
        <charset val="1"/>
      </rPr>
      <t xml:space="preserve">256</t>
    </r>
  </si>
  <si>
    <t xml:space="preserve">031-777-5678</t>
  </si>
  <si>
    <t xml:space="preserve">www.smartsol.kr</t>
  </si>
  <si>
    <t xml:space="preserve">2023-02-20</t>
  </si>
  <si>
    <t xml:space="preserve">ACC-003</t>
  </si>
  <si>
    <r>
      <rPr>
        <sz val="10"/>
        <rFont val="Noto Sans CJK SC"/>
        <family val="2"/>
      </rPr>
      <t xml:space="preserve">한국제조공업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</si>
  <si>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제조업</t>
  </si>
  <si>
    <t xml:space="preserve">박성민</t>
  </si>
  <si>
    <t xml:space="preserve">S</t>
  </si>
  <si>
    <t xml:space="preserve">인천</t>
  </si>
  <si>
    <r>
      <rPr>
        <sz val="10"/>
        <rFont val="Noto Sans CJK SC"/>
        <family val="2"/>
      </rPr>
      <t xml:space="preserve">인천시 남동구 논현로 </t>
    </r>
    <r>
      <rPr>
        <sz val="10"/>
        <rFont val="Arial"/>
        <family val="0"/>
        <charset val="1"/>
      </rPr>
      <t xml:space="preserve">89</t>
    </r>
  </si>
  <si>
    <t xml:space="preserve">032-888-9012</t>
  </si>
  <si>
    <t xml:space="preserve">www.hkmanuf.co.kr</t>
  </si>
  <si>
    <t xml:space="preserve">2022-11-05</t>
  </si>
  <si>
    <t xml:space="preserve">ACC-004</t>
  </si>
  <si>
    <t xml:space="preserve">글로벌트레이딩</t>
  </si>
  <si>
    <r>
      <rPr>
        <sz val="10"/>
        <rFont val="Noto Sans CJK SC"/>
        <family val="2"/>
      </rPr>
      <t xml:space="preserve">무역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유통</t>
    </r>
  </si>
  <si>
    <t xml:space="preserve">최영수</t>
  </si>
  <si>
    <t xml:space="preserve">부산</t>
  </si>
  <si>
    <r>
      <rPr>
        <sz val="10"/>
        <rFont val="Noto Sans CJK SC"/>
        <family val="2"/>
      </rPr>
      <t xml:space="preserve">부산시 해운대구 센텀동로 </t>
    </r>
    <r>
      <rPr>
        <sz val="10"/>
        <rFont val="Arial"/>
        <family val="0"/>
        <charset val="1"/>
      </rPr>
      <t xml:space="preserve">55</t>
    </r>
  </si>
  <si>
    <t xml:space="preserve">051-333-4567</t>
  </si>
  <si>
    <t xml:space="preserve">www.globaltrd.com</t>
  </si>
  <si>
    <t xml:space="preserve">2023-03-10</t>
  </si>
  <si>
    <t xml:space="preserve">ACC-005</t>
  </si>
  <si>
    <r>
      <rPr>
        <sz val="10"/>
        <rFont val="Noto Sans CJK SC"/>
        <family val="2"/>
      </rPr>
      <t xml:space="preserve">메디플러스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</si>
  <si>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헬스케어</t>
  </si>
  <si>
    <t xml:space="preserve">정수연</t>
  </si>
  <si>
    <t xml:space="preserve">대전</t>
  </si>
  <si>
    <r>
      <rPr>
        <sz val="10"/>
        <rFont val="Noto Sans CJK SC"/>
        <family val="2"/>
      </rPr>
      <t xml:space="preserve">대전시 유성구 과학로 </t>
    </r>
    <r>
      <rPr>
        <sz val="10"/>
        <rFont val="Arial"/>
        <family val="0"/>
        <charset val="1"/>
      </rPr>
      <t xml:space="preserve">120</t>
    </r>
  </si>
  <si>
    <t xml:space="preserve">042-222-7890</t>
  </si>
  <si>
    <t xml:space="preserve">www.mediplus.co.kr</t>
  </si>
  <si>
    <t xml:space="preserve">2023-04-01</t>
  </si>
  <si>
    <t xml:space="preserve">ACC-006</t>
  </si>
  <si>
    <t xml:space="preserve">에코그린에너지</t>
  </si>
  <si>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환경</t>
    </r>
  </si>
  <si>
    <t xml:space="preserve">한동원</t>
  </si>
  <si>
    <t xml:space="preserve">C</t>
  </si>
  <si>
    <r>
      <rPr>
        <sz val="10"/>
        <rFont val="Noto Sans CJK SC"/>
        <family val="2"/>
      </rPr>
      <t xml:space="preserve">서울시 마포구 월드컵북로 </t>
    </r>
    <r>
      <rPr>
        <sz val="10"/>
        <rFont val="Arial"/>
        <family val="0"/>
        <charset val="1"/>
      </rPr>
      <t xml:space="preserve">396</t>
    </r>
  </si>
  <si>
    <t xml:space="preserve">02-444-2345</t>
  </si>
  <si>
    <t xml:space="preserve">www.ecogreen.kr</t>
  </si>
  <si>
    <t xml:space="preserve">2023-05-18</t>
  </si>
  <si>
    <t xml:space="preserve">ACC-007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</si>
  <si>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파인테크</t>
    </r>
  </si>
  <si>
    <r>
      <rPr>
        <sz val="10"/>
        <rFont val="Noto Sans CJK SC"/>
        <family val="2"/>
      </rPr>
      <t xml:space="preserve">반도체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전자</t>
    </r>
  </si>
  <si>
    <t xml:space="preserve">오지현</t>
  </si>
  <si>
    <r>
      <rPr>
        <sz val="10"/>
        <rFont val="Noto Sans CJK SC"/>
        <family val="2"/>
      </rPr>
      <t xml:space="preserve">경기도 화성시 동탄산단로 </t>
    </r>
    <r>
      <rPr>
        <sz val="10"/>
        <rFont val="Arial"/>
        <family val="0"/>
        <charset val="1"/>
      </rPr>
      <t xml:space="preserve">75</t>
    </r>
  </si>
  <si>
    <t xml:space="preserve">031-999-6789</t>
  </si>
  <si>
    <t xml:space="preserve">www.finetech.co.kr</t>
  </si>
  <si>
    <t xml:space="preserve">2022-09-22</t>
  </si>
  <si>
    <t xml:space="preserve">ACC-008</t>
  </si>
  <si>
    <t xml:space="preserve">넥스트빌드건설</t>
  </si>
  <si>
    <r>
      <rPr>
        <sz val="10"/>
        <rFont val="Noto Sans CJK SC"/>
        <family val="2"/>
      </rPr>
      <t xml:space="preserve">건설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부동산</t>
    </r>
  </si>
  <si>
    <t xml:space="preserve">윤태준</t>
  </si>
  <si>
    <r>
      <rPr>
        <sz val="10"/>
        <rFont val="Noto Sans CJK SC"/>
        <family val="2"/>
      </rPr>
      <t xml:space="preserve">서울시 종로구 세종대로 </t>
    </r>
    <r>
      <rPr>
        <sz val="10"/>
        <rFont val="Arial"/>
        <family val="0"/>
        <charset val="1"/>
      </rPr>
      <t xml:space="preserve">167</t>
    </r>
  </si>
  <si>
    <t xml:space="preserve">02-666-0123</t>
  </si>
  <si>
    <t xml:space="preserve">www.nextbuild.co.kr</t>
  </si>
  <si>
    <t xml:space="preserve">2023-06-07</t>
  </si>
  <si>
    <t xml:space="preserve">ACC-009</t>
  </si>
  <si>
    <t xml:space="preserve">데이터브릿지</t>
  </si>
  <si>
    <r>
      <rPr>
        <sz val="10"/>
        <rFont val="Arial"/>
        <family val="0"/>
        <charset val="1"/>
      </rPr>
      <t xml:space="preserve">AI/</t>
    </r>
    <r>
      <rPr>
        <sz val="10"/>
        <rFont val="Noto Sans CJK SC"/>
        <family val="2"/>
      </rPr>
      <t xml:space="preserve">빅데이터</t>
    </r>
  </si>
  <si>
    <t xml:space="preserve">강예린</t>
  </si>
  <si>
    <r>
      <rPr>
        <sz val="10"/>
        <rFont val="Noto Sans CJK SC"/>
        <family val="2"/>
      </rPr>
      <t xml:space="preserve">서울시 서초구 반포대로 </t>
    </r>
    <r>
      <rPr>
        <sz val="10"/>
        <rFont val="Arial"/>
        <family val="0"/>
        <charset val="1"/>
      </rPr>
      <t xml:space="preserve">201</t>
    </r>
  </si>
  <si>
    <t xml:space="preserve">02-111-3456</t>
  </si>
  <si>
    <t xml:space="preserve">www.databridge.ai</t>
  </si>
  <si>
    <t xml:space="preserve">2023-07-25</t>
  </si>
  <si>
    <t xml:space="preserve">ACC-010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</si>
  <si>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코리아푸드</t>
    </r>
  </si>
  <si>
    <r>
      <rPr>
        <sz val="10"/>
        <rFont val="Noto Sans CJK SC"/>
        <family val="2"/>
      </rPr>
      <t xml:space="preserve">식품</t>
    </r>
    <r>
      <rPr>
        <sz val="10"/>
        <rFont val="Arial"/>
        <family val="0"/>
        <charset val="1"/>
      </rPr>
      <t xml:space="preserve">/F&amp;B</t>
    </r>
  </si>
  <si>
    <t xml:space="preserve">임재혁</t>
  </si>
  <si>
    <r>
      <rPr>
        <sz val="10"/>
        <rFont val="Noto Sans CJK SC"/>
        <family val="2"/>
      </rPr>
      <t xml:space="preserve">경기도 이천시 백사면 산단로 </t>
    </r>
    <r>
      <rPr>
        <sz val="10"/>
        <rFont val="Arial"/>
        <family val="0"/>
        <charset val="1"/>
      </rPr>
      <t xml:space="preserve">33</t>
    </r>
  </si>
  <si>
    <t xml:space="preserve">031-888-7890</t>
  </si>
  <si>
    <t xml:space="preserve">www.koreafood.co.kr</t>
  </si>
  <si>
    <t xml:space="preserve">2022-08-14</t>
  </si>
  <si>
    <t xml:space="preserve">ACC-011</t>
  </si>
  <si>
    <t xml:space="preserve">블루오션물류</t>
  </si>
  <si>
    <r>
      <rPr>
        <sz val="10"/>
        <rFont val="Noto Sans CJK SC"/>
        <family val="2"/>
      </rPr>
      <t xml:space="preserve">물류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운송</t>
    </r>
  </si>
  <si>
    <t xml:space="preserve">서민정</t>
  </si>
  <si>
    <r>
      <rPr>
        <sz val="10"/>
        <rFont val="Noto Sans CJK SC"/>
        <family val="2"/>
      </rPr>
      <t xml:space="preserve">부산시 강서구 녹산산단로 </t>
    </r>
    <r>
      <rPr>
        <sz val="10"/>
        <rFont val="Arial"/>
        <family val="0"/>
        <charset val="1"/>
      </rPr>
      <t xml:space="preserve">410</t>
    </r>
  </si>
  <si>
    <t xml:space="preserve">051-555-2345</t>
  </si>
  <si>
    <t xml:space="preserve">www.blueocean.kr</t>
  </si>
  <si>
    <t xml:space="preserve">2023-08-30</t>
  </si>
  <si>
    <t xml:space="preserve">ACC-012</t>
  </si>
  <si>
    <t xml:space="preserve">시큐어넷</t>
  </si>
  <si>
    <r>
      <rPr>
        <sz val="10"/>
        <rFont val="Noto Sans CJK SC"/>
        <family val="2"/>
      </rPr>
      <t xml:space="preserve">보안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네트워크</t>
    </r>
  </si>
  <si>
    <t xml:space="preserve">장우진</t>
  </si>
  <si>
    <r>
      <rPr>
        <sz val="10"/>
        <rFont val="Noto Sans CJK SC"/>
        <family val="2"/>
      </rPr>
      <t xml:space="preserve">서울시 영등포구 여의대로 </t>
    </r>
    <r>
      <rPr>
        <sz val="10"/>
        <rFont val="Arial"/>
        <family val="0"/>
        <charset val="1"/>
      </rPr>
      <t xml:space="preserve">108</t>
    </r>
  </si>
  <si>
    <t xml:space="preserve">02-777-6789</t>
  </si>
  <si>
    <t xml:space="preserve">www.securenet.co.kr</t>
  </si>
  <si>
    <t xml:space="preserve">2023-09-12</t>
  </si>
  <si>
    <r>
      <rPr>
        <b val="true"/>
        <sz val="11"/>
        <color rgb="FFFFFFFF"/>
        <rFont val="Noto Sans CJK SC"/>
        <family val="2"/>
      </rPr>
      <t xml:space="preserve">담당자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</si>
  <si>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이름</t>
  </si>
  <si>
    <t xml:space="preserve">직책</t>
  </si>
  <si>
    <t xml:space="preserve">부서</t>
  </si>
  <si>
    <t xml:space="preserve">이메일</t>
  </si>
  <si>
    <t xml:space="preserve">휴대전화</t>
  </si>
  <si>
    <t xml:space="preserve">의사결정권한</t>
  </si>
  <si>
    <t xml:space="preserve">관계등급</t>
  </si>
  <si>
    <t xml:space="preserve">최근연락일</t>
  </si>
  <si>
    <t xml:space="preserve">CON-001</t>
  </si>
  <si>
    <t xml:space="preserve">대표이사</t>
  </si>
  <si>
    <t xml:space="preserve">경영진</t>
  </si>
  <si>
    <t xml:space="preserve">jh.kim@technova.co.kr</t>
  </si>
  <si>
    <t xml:space="preserve">010-1234-5678</t>
  </si>
  <si>
    <t xml:space="preserve">최종결정</t>
  </si>
  <si>
    <t xml:space="preserve">★★★★★</t>
  </si>
  <si>
    <t xml:space="preserve">2025-12-10</t>
  </si>
  <si>
    <t xml:space="preserve">CON-002</t>
  </si>
  <si>
    <t xml:space="preserve">박지은</t>
  </si>
  <si>
    <t xml:space="preserve">팀장</t>
  </si>
  <si>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기획팀</t>
    </r>
  </si>
  <si>
    <t xml:space="preserve">je.park@technova.co.kr</t>
  </si>
  <si>
    <t xml:space="preserve">010-2345-6789</t>
  </si>
  <si>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검토</t>
    </r>
  </si>
  <si>
    <t xml:space="preserve">★★★★</t>
  </si>
  <si>
    <t xml:space="preserve">2026-01-05</t>
  </si>
  <si>
    <t xml:space="preserve">CON-003</t>
  </si>
  <si>
    <t xml:space="preserve">대표</t>
  </si>
  <si>
    <t xml:space="preserve">my.lee@smartsol.kr</t>
  </si>
  <si>
    <t xml:space="preserve">010-3456-7890</t>
  </si>
  <si>
    <t xml:space="preserve">2026-02-14</t>
  </si>
  <si>
    <t xml:space="preserve">CON-004</t>
  </si>
  <si>
    <t xml:space="preserve">sm.park@hkmanuf.co.kr</t>
  </si>
  <si>
    <t xml:space="preserve">010-4567-8901</t>
  </si>
  <si>
    <t xml:space="preserve">★★★</t>
  </si>
  <si>
    <t xml:space="preserve">2025-11-20</t>
  </si>
  <si>
    <t xml:space="preserve">CON-005</t>
  </si>
  <si>
    <t xml:space="preserve">유정호</t>
  </si>
  <si>
    <t xml:space="preserve">부장</t>
  </si>
  <si>
    <t xml:space="preserve">생산관리부</t>
  </si>
  <si>
    <t xml:space="preserve">jh.yoo@hkmanuf.co.kr</t>
  </si>
  <si>
    <t xml:space="preserve">010-5678-9012</t>
  </si>
  <si>
    <t xml:space="preserve">실무담당</t>
  </si>
  <si>
    <t xml:space="preserve">2026-03-01</t>
  </si>
  <si>
    <t xml:space="preserve">CON-006</t>
  </si>
  <si>
    <t xml:space="preserve">ys.choi@globaltrd.com</t>
  </si>
  <si>
    <t xml:space="preserve">010-6789-0123</t>
  </si>
  <si>
    <t xml:space="preserve">2026-01-18</t>
  </si>
  <si>
    <t xml:space="preserve">CON-007</t>
  </si>
  <si>
    <t xml:space="preserve">sy.jung@mediplus.co.kr</t>
  </si>
  <si>
    <t xml:space="preserve">010-7890-1234</t>
  </si>
  <si>
    <t xml:space="preserve">2025-10-30</t>
  </si>
  <si>
    <t xml:space="preserve">CON-008</t>
  </si>
  <si>
    <t xml:space="preserve">김하늘</t>
  </si>
  <si>
    <t xml:space="preserve">과장</t>
  </si>
  <si>
    <t xml:space="preserve">구매팀</t>
  </si>
  <si>
    <t xml:space="preserve">hn.kim@mediplus.co.kr</t>
  </si>
  <si>
    <t xml:space="preserve">010-8901-2345</t>
  </si>
  <si>
    <t xml:space="preserve">2026-03-15</t>
  </si>
  <si>
    <t xml:space="preserve">CON-009</t>
  </si>
  <si>
    <t xml:space="preserve">dw.han@ecogreen.kr</t>
  </si>
  <si>
    <t xml:space="preserve">010-9012-3456</t>
  </si>
  <si>
    <t xml:space="preserve">★★</t>
  </si>
  <si>
    <t xml:space="preserve">2025-09-05</t>
  </si>
  <si>
    <t xml:space="preserve">CON-010</t>
  </si>
  <si>
    <t xml:space="preserve">jh.oh@finetech.co.kr</t>
  </si>
  <si>
    <t xml:space="preserve">010-0123-4567</t>
  </si>
  <si>
    <t xml:space="preserve">2026-02-28</t>
  </si>
  <si>
    <t xml:space="preserve">CON-011</t>
  </si>
  <si>
    <t xml:space="preserve">송민수</t>
  </si>
  <si>
    <t xml:space="preserve">이사</t>
  </si>
  <si>
    <t xml:space="preserve">기술연구소</t>
  </si>
  <si>
    <t xml:space="preserve">ms.song@finetech.co.kr</t>
  </si>
  <si>
    <t xml:space="preserve">010-1111-2222</t>
  </si>
  <si>
    <t xml:space="preserve">2026-03-20</t>
  </si>
  <si>
    <t xml:space="preserve">CON-012</t>
  </si>
  <si>
    <t xml:space="preserve">tj.yoon@nextbuild.co.kr</t>
  </si>
  <si>
    <t xml:space="preserve">010-2222-3333</t>
  </si>
  <si>
    <t xml:space="preserve">2026-01-25</t>
  </si>
  <si>
    <t xml:space="preserve">CON-013</t>
  </si>
  <si>
    <t xml:space="preserve">yr.kang@databridge.ai</t>
  </si>
  <si>
    <t xml:space="preserve">010-3333-4444</t>
  </si>
  <si>
    <t xml:space="preserve">2026-03-08</t>
  </si>
  <si>
    <t xml:space="preserve">CON-014</t>
  </si>
  <si>
    <t xml:space="preserve">jh.lim@koreafood.co.kr</t>
  </si>
  <si>
    <t xml:space="preserve">010-4444-5555</t>
  </si>
  <si>
    <t xml:space="preserve">2026-02-05</t>
  </si>
  <si>
    <t xml:space="preserve">CON-015</t>
  </si>
  <si>
    <t xml:space="preserve">나영진</t>
  </si>
  <si>
    <t xml:space="preserve">차장</t>
  </si>
  <si>
    <t xml:space="preserve">정보시스템팀</t>
  </si>
  <si>
    <t xml:space="preserve">yj.na@koreafood.co.kr</t>
  </si>
  <si>
    <t xml:space="preserve">010-5555-6666</t>
  </si>
  <si>
    <t xml:space="preserve">2026-03-22</t>
  </si>
  <si>
    <t xml:space="preserve">CON-016</t>
  </si>
  <si>
    <t xml:space="preserve">mj.seo@blueocean.kr</t>
  </si>
  <si>
    <t xml:space="preserve">010-6666-7777</t>
  </si>
  <si>
    <t xml:space="preserve">2026-01-30</t>
  </si>
  <si>
    <t xml:space="preserve">CON-017</t>
  </si>
  <si>
    <t xml:space="preserve">wj.jang@securenet.co.kr</t>
  </si>
  <si>
    <t xml:space="preserve">010-7777-8888</t>
  </si>
  <si>
    <t xml:space="preserve">2026-02-18</t>
  </si>
  <si>
    <t xml:space="preserve">CON-018</t>
  </si>
  <si>
    <t xml:space="preserve">민지아</t>
  </si>
  <si>
    <t xml:space="preserve">매니저</t>
  </si>
  <si>
    <t xml:space="preserve">기술영업팀</t>
  </si>
  <si>
    <t xml:space="preserve">ja.min@securenet.co.kr</t>
  </si>
  <si>
    <t xml:space="preserve">010-8888-9999</t>
  </si>
  <si>
    <t xml:space="preserve">2026-03-25</t>
  </si>
  <si>
    <r>
      <rPr>
        <b val="true"/>
        <sz val="11"/>
        <color rgb="FFFFFFFF"/>
        <rFont val="Noto Sans CJK SC"/>
        <family val="2"/>
      </rPr>
      <t xml:space="preserve">기회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</si>
  <si>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영업담당</t>
  </si>
  <si>
    <t xml:space="preserve">기회명</t>
  </si>
  <si>
    <r>
      <rPr>
        <b val="true"/>
        <sz val="11"/>
        <color rgb="FFFFFFFF"/>
        <rFont val="Noto Sans CJK SC"/>
        <family val="2"/>
      </rPr>
      <t xml:space="preserve">제품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서비스</t>
    </r>
  </si>
  <si>
    <r>
      <rPr>
        <b val="true"/>
        <sz val="11"/>
        <color rgb="FFFFFFFF"/>
        <rFont val="Noto Sans CJK SC"/>
        <family val="2"/>
      </rPr>
      <t xml:space="preserve">예상매출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만원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</si>
  <si>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단계</t>
  </si>
  <si>
    <t xml:space="preserve">성공확률</t>
  </si>
  <si>
    <t xml:space="preserve">예상마감일</t>
  </si>
  <si>
    <t xml:space="preserve">생성일</t>
  </si>
  <si>
    <t xml:space="preserve">최종수정일</t>
  </si>
  <si>
    <t xml:space="preserve">비고</t>
  </si>
  <si>
    <t xml:space="preserve">OPP-001</t>
  </si>
  <si>
    <t xml:space="preserve">김영호</t>
  </si>
  <si>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시스템 도입</t>
    </r>
  </si>
  <si>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패키지</t>
    </r>
  </si>
  <si>
    <r>
      <rPr>
        <sz val="10"/>
        <rFont val="Noto Sans CJK SC"/>
        <family val="2"/>
      </rPr>
      <t xml:space="preserve">제안</t>
    </r>
    <r>
      <rPr>
        <sz val="10"/>
        <rFont val="Arial"/>
        <family val="0"/>
        <charset val="1"/>
      </rPr>
      <t xml:space="preserve">/PT</t>
    </r>
  </si>
  <si>
    <t xml:space="preserve">2026-06-30</t>
  </si>
  <si>
    <t xml:space="preserve">2025-11-01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</si>
  <si>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데모 완료</t>
    </r>
  </si>
  <si>
    <t xml:space="preserve">OPP-002</t>
  </si>
  <si>
    <t xml:space="preserve">박서연</t>
  </si>
  <si>
    <t xml:space="preserve">스마트팩토리 구축</t>
  </si>
  <si>
    <r>
      <rPr>
        <sz val="10"/>
        <rFont val="Arial"/>
        <family val="0"/>
        <charset val="1"/>
      </rPr>
      <t xml:space="preserve">MES+IoT </t>
    </r>
    <r>
      <rPr>
        <sz val="10"/>
        <rFont val="Noto Sans CJK SC"/>
        <family val="2"/>
      </rPr>
      <t xml:space="preserve">솔루션</t>
    </r>
  </si>
  <si>
    <t xml:space="preserve">협상</t>
  </si>
  <si>
    <t xml:space="preserve">2026-05-15</t>
  </si>
  <si>
    <t xml:space="preserve">2025-08-20</t>
  </si>
  <si>
    <t xml:space="preserve">2026-03-28</t>
  </si>
  <si>
    <t xml:space="preserve">최종가격 조율 중</t>
  </si>
  <si>
    <t xml:space="preserve">OPP-003</t>
  </si>
  <si>
    <t xml:space="preserve">이준혁</t>
  </si>
  <si>
    <r>
      <rPr>
        <sz val="10"/>
        <rFont val="Noto Sans CJK SC"/>
        <family val="2"/>
      </rPr>
      <t xml:space="preserve">물류 </t>
    </r>
    <r>
      <rPr>
        <sz val="10"/>
        <rFont val="Arial"/>
        <family val="0"/>
        <charset val="1"/>
      </rPr>
      <t xml:space="preserve">TMS </t>
    </r>
    <r>
      <rPr>
        <sz val="10"/>
        <rFont val="Noto Sans CJK SC"/>
        <family val="2"/>
      </rPr>
      <t xml:space="preserve">도입</t>
    </r>
  </si>
  <si>
    <r>
      <rPr>
        <sz val="10"/>
        <rFont val="Arial"/>
        <family val="0"/>
        <charset val="1"/>
      </rPr>
      <t xml:space="preserve">TMS </t>
    </r>
    <r>
      <rPr>
        <sz val="10"/>
        <rFont val="Noto Sans CJK SC"/>
        <family val="2"/>
      </rPr>
      <t xml:space="preserve">클라우드</t>
    </r>
  </si>
  <si>
    <t xml:space="preserve">초기접촉</t>
  </si>
  <si>
    <t xml:space="preserve">2026-09-30</t>
  </si>
  <si>
    <t xml:space="preserve">2026-02-10</t>
  </si>
  <si>
    <t xml:space="preserve">2026-03-10</t>
  </si>
  <si>
    <r>
      <rPr>
        <sz val="10"/>
        <rFont val="Arial"/>
        <family val="0"/>
        <charset val="1"/>
      </rPr>
      <t xml:space="preserve">RFP </t>
    </r>
    <r>
      <rPr>
        <sz val="10"/>
        <rFont val="Noto Sans CJK SC"/>
        <family val="2"/>
      </rPr>
      <t xml:space="preserve">검토 중</t>
    </r>
  </si>
  <si>
    <t xml:space="preserve">OPP-004</t>
  </si>
  <si>
    <t xml:space="preserve">전자의무기록 연동</t>
  </si>
  <si>
    <r>
      <rPr>
        <sz val="10"/>
        <rFont val="Arial"/>
        <family val="0"/>
        <charset val="1"/>
      </rPr>
      <t xml:space="preserve">EMR </t>
    </r>
    <r>
      <rPr>
        <sz val="10"/>
        <rFont val="Noto Sans CJK SC"/>
        <family val="2"/>
      </rPr>
      <t xml:space="preserve">인터페이스</t>
    </r>
  </si>
  <si>
    <t xml:space="preserve">니즈파악</t>
  </si>
  <si>
    <t xml:space="preserve">2026-08-31</t>
  </si>
  <si>
    <t xml:space="preserve">2026-01-15</t>
  </si>
  <si>
    <t xml:space="preserve">요구사항 정의 단계</t>
  </si>
  <si>
    <t xml:space="preserve">OPP-005</t>
  </si>
  <si>
    <t xml:space="preserve">최다은</t>
  </si>
  <si>
    <r>
      <rPr>
        <sz val="10"/>
        <rFont val="Noto Sans CJK SC"/>
        <family val="2"/>
      </rPr>
      <t xml:space="preserve">반도체 공정관리 </t>
    </r>
    <r>
      <rPr>
        <sz val="10"/>
        <rFont val="Arial"/>
        <family val="0"/>
        <charset val="1"/>
      </rPr>
      <t xml:space="preserve">SW</t>
    </r>
  </si>
  <si>
    <r>
      <rPr>
        <sz val="10"/>
        <rFont val="Arial"/>
        <family val="0"/>
        <charset val="1"/>
      </rPr>
      <t xml:space="preserve">SPC </t>
    </r>
    <r>
      <rPr>
        <sz val="10"/>
        <rFont val="Noto Sans CJK SC"/>
        <family val="2"/>
      </rPr>
      <t xml:space="preserve">솔루션</t>
    </r>
  </si>
  <si>
    <t xml:space="preserve">2026-07-31</t>
  </si>
  <si>
    <t xml:space="preserve">2025-10-05</t>
  </si>
  <si>
    <t xml:space="preserve">경쟁사 대비 기술 우위</t>
  </si>
  <si>
    <t xml:space="preserve">OPP-006</t>
  </si>
  <si>
    <r>
      <rPr>
        <sz val="10"/>
        <rFont val="Arial"/>
        <family val="0"/>
        <charset val="1"/>
      </rPr>
      <t xml:space="preserve">HACCP </t>
    </r>
    <r>
      <rPr>
        <sz val="10"/>
        <rFont val="Noto Sans CJK SC"/>
        <family val="2"/>
      </rPr>
      <t xml:space="preserve">통합관리</t>
    </r>
  </si>
  <si>
    <t xml:space="preserve">HACCP+QMS</t>
  </si>
  <si>
    <t xml:space="preserve">2026-04-30</t>
  </si>
  <si>
    <t xml:space="preserve">2025-09-12</t>
  </si>
  <si>
    <t xml:space="preserve">2026-04-01</t>
  </si>
  <si>
    <t xml:space="preserve">계약서 검토 중</t>
  </si>
  <si>
    <t xml:space="preserve">OPP-007</t>
  </si>
  <si>
    <r>
      <rPr>
        <sz val="10"/>
        <rFont val="Arial"/>
        <family val="0"/>
        <charset val="1"/>
      </rPr>
      <t xml:space="preserve">HR </t>
    </r>
    <r>
      <rPr>
        <sz val="10"/>
        <rFont val="Noto Sans CJK SC"/>
        <family val="2"/>
      </rPr>
      <t xml:space="preserve">솔루션 교체</t>
    </r>
  </si>
  <si>
    <r>
      <rPr>
        <sz val="10"/>
        <rFont val="Arial"/>
        <family val="0"/>
        <charset val="1"/>
      </rPr>
      <t xml:space="preserve">HRM </t>
    </r>
    <r>
      <rPr>
        <sz val="10"/>
        <rFont val="Noto Sans CJK SC"/>
        <family val="2"/>
      </rPr>
      <t xml:space="preserve">클라우드</t>
    </r>
  </si>
  <si>
    <t xml:space="preserve">계약완료</t>
  </si>
  <si>
    <t xml:space="preserve">2026-03-31</t>
  </si>
  <si>
    <t xml:space="preserve">2025-07-01</t>
  </si>
  <si>
    <t xml:space="preserve">계약 체결 완료</t>
  </si>
  <si>
    <t xml:space="preserve">OPP-008</t>
  </si>
  <si>
    <t xml:space="preserve">건설현장 안전관리</t>
  </si>
  <si>
    <r>
      <rPr>
        <sz val="10"/>
        <rFont val="Arial"/>
        <family val="0"/>
        <charset val="1"/>
      </rPr>
      <t xml:space="preserve">IoT </t>
    </r>
    <r>
      <rPr>
        <sz val="10"/>
        <rFont val="Noto Sans CJK SC"/>
        <family val="2"/>
      </rPr>
      <t xml:space="preserve">안전모니터링</t>
    </r>
  </si>
  <si>
    <t xml:space="preserve">2026-10-31</t>
  </si>
  <si>
    <t xml:space="preserve">2026-03-18</t>
  </si>
  <si>
    <t xml:space="preserve">현장 방문 예정</t>
  </si>
  <si>
    <t xml:space="preserve">OPP-009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</si>
  <si>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데이터분석 플랫폼</t>
    </r>
  </si>
  <si>
    <t xml:space="preserve">AI Analytics</t>
  </si>
  <si>
    <t xml:space="preserve">2026-12-31</t>
  </si>
  <si>
    <t xml:space="preserve">2026-04-02</t>
  </si>
  <si>
    <t xml:space="preserve">스타트업 예산 제한</t>
  </si>
  <si>
    <t xml:space="preserve">OPP-010</t>
  </si>
  <si>
    <r>
      <rPr>
        <sz val="10"/>
        <rFont val="Arial"/>
        <family val="0"/>
        <charset val="1"/>
      </rPr>
      <t xml:space="preserve">WMS </t>
    </r>
    <r>
      <rPr>
        <sz val="10"/>
        <rFont val="Noto Sans CJK SC"/>
        <family val="2"/>
      </rPr>
      <t xml:space="preserve">업그레이드</t>
    </r>
  </si>
  <si>
    <t xml:space="preserve">WMS 3.0</t>
  </si>
  <si>
    <t xml:space="preserve">2026-06-15</t>
  </si>
  <si>
    <t xml:space="preserve">2026-03-30</t>
  </si>
  <si>
    <r>
      <rPr>
        <sz val="10"/>
        <rFont val="Arial"/>
        <family val="0"/>
        <charset val="1"/>
      </rPr>
      <t xml:space="preserve">POC </t>
    </r>
    <r>
      <rPr>
        <sz val="10"/>
        <rFont val="Noto Sans CJK SC"/>
        <family val="2"/>
      </rPr>
      <t xml:space="preserve">진행 중</t>
    </r>
  </si>
  <si>
    <t xml:space="preserve">OPP-011</t>
  </si>
  <si>
    <t xml:space="preserve">그룹웨어 전환</t>
  </si>
  <si>
    <t xml:space="preserve">클라우드 그룹웨어</t>
  </si>
  <si>
    <t xml:space="preserve">2025-06-15</t>
  </si>
  <si>
    <t xml:space="preserve">구축 진행 중</t>
  </si>
  <si>
    <t xml:space="preserve">OPP-012</t>
  </si>
  <si>
    <t xml:space="preserve">보안관제 서비스</t>
  </si>
  <si>
    <r>
      <rPr>
        <sz val="10"/>
        <rFont val="Arial"/>
        <family val="0"/>
        <charset val="1"/>
      </rPr>
      <t xml:space="preserve">MDR </t>
    </r>
    <r>
      <rPr>
        <sz val="10"/>
        <rFont val="Noto Sans CJK SC"/>
        <family val="2"/>
      </rPr>
      <t xml:space="preserve">서비스</t>
    </r>
  </si>
  <si>
    <t xml:space="preserve">2026-08-15</t>
  </si>
  <si>
    <t xml:space="preserve">보안감사 후 추진</t>
  </si>
  <si>
    <t xml:space="preserve">OPP-013</t>
  </si>
  <si>
    <r>
      <rPr>
        <sz val="10"/>
        <rFont val="Arial"/>
        <family val="0"/>
        <charset val="1"/>
      </rPr>
      <t xml:space="preserve">SCM </t>
    </r>
    <r>
      <rPr>
        <sz val="10"/>
        <rFont val="Noto Sans CJK SC"/>
        <family val="2"/>
      </rPr>
      <t xml:space="preserve">고도화</t>
    </r>
  </si>
  <si>
    <r>
      <rPr>
        <sz val="10"/>
        <rFont val="Arial"/>
        <family val="0"/>
        <charset val="1"/>
      </rPr>
      <t xml:space="preserve">SCM </t>
    </r>
    <r>
      <rPr>
        <sz val="10"/>
        <rFont val="Noto Sans CJK SC"/>
        <family val="2"/>
      </rPr>
      <t xml:space="preserve">플랫폼</t>
    </r>
  </si>
  <si>
    <r>
      <rPr>
        <sz val="10"/>
        <rFont val="Noto Sans CJK SC"/>
        <family val="2"/>
      </rPr>
      <t xml:space="preserve">실주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보류</t>
    </r>
  </si>
  <si>
    <t xml:space="preserve">2025-05-10</t>
  </si>
  <si>
    <t xml:space="preserve">예산 삭감으로 보류</t>
  </si>
  <si>
    <t xml:space="preserve">OPP-014</t>
  </si>
  <si>
    <t xml:space="preserve">탄소배출 모니터링</t>
  </si>
  <si>
    <r>
      <rPr>
        <sz val="10"/>
        <rFont val="Arial"/>
        <family val="0"/>
        <charset val="1"/>
      </rPr>
      <t xml:space="preserve">ESG </t>
    </r>
    <r>
      <rPr>
        <sz val="10"/>
        <rFont val="Noto Sans CJK SC"/>
        <family val="2"/>
      </rPr>
      <t xml:space="preserve">플랫폼</t>
    </r>
  </si>
  <si>
    <t xml:space="preserve">2026-11-30</t>
  </si>
  <si>
    <t xml:space="preserve">2026-04-05</t>
  </si>
  <si>
    <t xml:space="preserve">정부 지원사업 연계</t>
  </si>
  <si>
    <r>
      <rPr>
        <b val="true"/>
        <sz val="11"/>
        <color rgb="FFFFFFFF"/>
        <rFont val="Noto Sans CJK SC"/>
        <family val="2"/>
      </rPr>
      <t xml:space="preserve">활동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</si>
  <si>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활동유형</t>
  </si>
  <si>
    <t xml:space="preserve">활동일자</t>
  </si>
  <si>
    <r>
      <rPr>
        <b val="true"/>
        <sz val="11"/>
        <color rgb="FFFFFFFF"/>
        <rFont val="Noto Sans CJK SC"/>
        <family val="2"/>
      </rPr>
      <t xml:space="preserve">소요시간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</si>
  <si>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내용요약</t>
  </si>
  <si>
    <t xml:space="preserve">다음단계</t>
  </si>
  <si>
    <t xml:space="preserve">후속일정</t>
  </si>
  <si>
    <t xml:space="preserve">ACT-001</t>
  </si>
  <si>
    <t xml:space="preserve">미팅</t>
  </si>
  <si>
    <t xml:space="preserve">2025-11-15</t>
  </si>
  <si>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도입 니즈 청취 및 현황 파악</t>
    </r>
  </si>
  <si>
    <t xml:space="preserve">요구사항 정리 후 제안서 작성</t>
  </si>
  <si>
    <t xml:space="preserve">2025-12-01</t>
  </si>
  <si>
    <t xml:space="preserve">ACT-002</t>
  </si>
  <si>
    <t xml:space="preserve">제안서발송</t>
  </si>
  <si>
    <t xml:space="preserve">맞춤 제안서 및 견적서 발송</t>
  </si>
  <si>
    <t xml:space="preserve">데모 시연 일정 조율</t>
  </si>
  <si>
    <t xml:space="preserve">2025-12-20</t>
  </si>
  <si>
    <t xml:space="preserve">ACT-003</t>
  </si>
  <si>
    <t xml:space="preserve">데모시연</t>
  </si>
  <si>
    <t xml:space="preserve">2026-01-08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</si>
  <si>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데모 진행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추가 커스터마이징 요청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</si>
  <si>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데모 준비</t>
    </r>
  </si>
  <si>
    <t xml:space="preserve">ACT-004</t>
  </si>
  <si>
    <t xml:space="preserve">2026-02-12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</si>
  <si>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데모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긍정적 반응</t>
    </r>
  </si>
  <si>
    <t xml:space="preserve">내부 검토 후 협상 진입 예정</t>
  </si>
  <si>
    <t xml:space="preserve">ACT-005</t>
  </si>
  <si>
    <t xml:space="preserve">현장방문</t>
  </si>
  <si>
    <t xml:space="preserve">생산현장 방문 및 공정분석</t>
  </si>
  <si>
    <r>
      <rPr>
        <sz val="10"/>
        <rFont val="Arial"/>
        <family val="0"/>
        <charset val="1"/>
      </rPr>
      <t xml:space="preserve">AS-IS </t>
    </r>
    <r>
      <rPr>
        <sz val="10"/>
        <rFont val="Noto Sans CJK SC"/>
        <family val="2"/>
      </rPr>
      <t xml:space="preserve">분석 보고서 작성</t>
    </r>
  </si>
  <si>
    <t xml:space="preserve">2025-09-20</t>
  </si>
  <si>
    <t xml:space="preserve">ACT-006</t>
  </si>
  <si>
    <t xml:space="preserve">2025-10-15</t>
  </si>
  <si>
    <t xml:space="preserve">스마트팩토리 구축 제안서 제출</t>
  </si>
  <si>
    <r>
      <rPr>
        <sz val="10"/>
        <rFont val="Arial"/>
        <family val="0"/>
        <charset val="1"/>
      </rPr>
      <t xml:space="preserve">PT </t>
    </r>
    <r>
      <rPr>
        <sz val="10"/>
        <rFont val="Noto Sans CJK SC"/>
        <family val="2"/>
      </rPr>
      <t xml:space="preserve">일정 확정</t>
    </r>
  </si>
  <si>
    <t xml:space="preserve">ACT-007</t>
  </si>
  <si>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발표</t>
    </r>
  </si>
  <si>
    <t xml:space="preserve">2025-11-10</t>
  </si>
  <si>
    <r>
      <rPr>
        <sz val="10"/>
        <rFont val="Noto Sans CJK SC"/>
        <family val="2"/>
      </rPr>
      <t xml:space="preserve">경영진 대상 </t>
    </r>
    <r>
      <rPr>
        <sz val="10"/>
        <rFont val="Arial"/>
        <family val="0"/>
        <charset val="1"/>
      </rPr>
      <t xml:space="preserve">PT </t>
    </r>
    <r>
      <rPr>
        <sz val="10"/>
        <rFont val="Noto Sans CJK SC"/>
        <family val="2"/>
      </rPr>
      <t xml:space="preserve">진행</t>
    </r>
  </si>
  <si>
    <t xml:space="preserve">가격 협상 돌입</t>
  </si>
  <si>
    <t xml:space="preserve">ACT-008</t>
  </si>
  <si>
    <t xml:space="preserve">2026-01-20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</si>
  <si>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가격 협상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분할 납품 제안</t>
    </r>
  </si>
  <si>
    <t xml:space="preserve">최종 견적 조율</t>
  </si>
  <si>
    <t xml:space="preserve">ACT-009</t>
  </si>
  <si>
    <t xml:space="preserve">2026-03-05</t>
  </si>
  <si>
    <r>
      <rPr>
        <sz val="10"/>
        <rFont val="Noto Sans CJK SC"/>
        <family val="2"/>
      </rPr>
      <t xml:space="preserve">최종 가격 합의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계약 조건 조율 중</t>
    </r>
  </si>
  <si>
    <t xml:space="preserve">계약서 초안 전달</t>
  </si>
  <si>
    <t xml:space="preserve">ACT-010</t>
  </si>
  <si>
    <t xml:space="preserve">콜드콜</t>
  </si>
  <si>
    <r>
      <rPr>
        <sz val="10"/>
        <rFont val="Noto Sans CJK SC"/>
        <family val="2"/>
      </rPr>
      <t xml:space="preserve">물류 시스템 니즈 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관심 표명</t>
    </r>
  </si>
  <si>
    <t xml:space="preserve">자료 발송 후 미팅 조율</t>
  </si>
  <si>
    <t xml:space="preserve">2026-02-20</t>
  </si>
  <si>
    <t xml:space="preserve">ACT-011</t>
  </si>
  <si>
    <t xml:space="preserve">회사소개서 및 사례집 발송</t>
  </si>
  <si>
    <t xml:space="preserve">미팅 일정 확인</t>
  </si>
  <si>
    <t xml:space="preserve">ACT-012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</si>
  <si>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미팅</t>
    </r>
    <r>
      <rPr>
        <sz val="10"/>
        <rFont val="Arial"/>
        <family val="0"/>
        <charset val="1"/>
      </rPr>
      <t xml:space="preserve">, RFP </t>
    </r>
    <r>
      <rPr>
        <sz val="10"/>
        <rFont val="Noto Sans CJK SC"/>
        <family val="2"/>
      </rPr>
      <t xml:space="preserve">사전 논의</t>
    </r>
  </si>
  <si>
    <r>
      <rPr>
        <sz val="10"/>
        <rFont val="Arial"/>
        <family val="0"/>
        <charset val="1"/>
      </rPr>
      <t xml:space="preserve">RFP </t>
    </r>
    <r>
      <rPr>
        <sz val="10"/>
        <rFont val="Noto Sans CJK SC"/>
        <family val="2"/>
      </rPr>
      <t xml:space="preserve">분석 후 제안 준비</t>
    </r>
  </si>
  <si>
    <t xml:space="preserve">ACT-013</t>
  </si>
  <si>
    <t xml:space="preserve">2025-10-20</t>
  </si>
  <si>
    <r>
      <rPr>
        <sz val="10"/>
        <rFont val="Arial"/>
        <family val="0"/>
        <charset val="1"/>
      </rPr>
      <t xml:space="preserve">SPC </t>
    </r>
    <r>
      <rPr>
        <sz val="10"/>
        <rFont val="Noto Sans CJK SC"/>
        <family val="2"/>
      </rPr>
      <t xml:space="preserve">솔루션 소개 및 니즈 파악</t>
    </r>
  </si>
  <si>
    <t xml:space="preserve">기술 검토 자료 전달</t>
  </si>
  <si>
    <t xml:space="preserve">2025-11-05</t>
  </si>
  <si>
    <t xml:space="preserve">ACT-014</t>
  </si>
  <si>
    <t xml:space="preserve">기술검토</t>
  </si>
  <si>
    <t xml:space="preserve">기술 적합성 검토 워크숍</t>
  </si>
  <si>
    <t xml:space="preserve">커스터마이징 범위 확정</t>
  </si>
  <si>
    <t xml:space="preserve">ACT-015</t>
  </si>
  <si>
    <t xml:space="preserve">2026-01-10</t>
  </si>
  <si>
    <r>
      <rPr>
        <sz val="10"/>
        <rFont val="Noto Sans CJK SC"/>
        <family val="2"/>
      </rPr>
      <t xml:space="preserve">기술제안서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가격제안서 제출</t>
    </r>
  </si>
  <si>
    <r>
      <rPr>
        <sz val="10"/>
        <rFont val="Arial"/>
        <family val="0"/>
        <charset val="1"/>
      </rPr>
      <t xml:space="preserve">PT </t>
    </r>
    <r>
      <rPr>
        <sz val="10"/>
        <rFont val="Noto Sans CJK SC"/>
        <family val="2"/>
      </rPr>
      <t xml:space="preserve">일정 조율</t>
    </r>
  </si>
  <si>
    <t xml:space="preserve">2026-02-01</t>
  </si>
  <si>
    <t xml:space="preserve">ACT-016</t>
  </si>
  <si>
    <t xml:space="preserve">2025-09-25</t>
  </si>
  <si>
    <r>
      <rPr>
        <sz val="10"/>
        <rFont val="Arial"/>
        <family val="0"/>
        <charset val="1"/>
      </rPr>
      <t xml:space="preserve">HACCP </t>
    </r>
    <r>
      <rPr>
        <sz val="10"/>
        <rFont val="Noto Sans CJK SC"/>
        <family val="2"/>
      </rPr>
      <t xml:space="preserve">관리 현황 파악</t>
    </r>
  </si>
  <si>
    <t xml:space="preserve">솔루션 데모 준비</t>
  </si>
  <si>
    <t xml:space="preserve">ACT-017</t>
  </si>
  <si>
    <r>
      <rPr>
        <sz val="10"/>
        <rFont val="Arial"/>
        <family val="0"/>
        <charset val="1"/>
      </rPr>
      <t xml:space="preserve">QMS </t>
    </r>
    <r>
      <rPr>
        <sz val="10"/>
        <rFont val="Noto Sans CJK SC"/>
        <family val="2"/>
      </rPr>
      <t xml:space="preserve">통합 데모 진행</t>
    </r>
  </si>
  <si>
    <t xml:space="preserve">제안서 작성</t>
  </si>
  <si>
    <t xml:space="preserve">2025-11-25</t>
  </si>
  <si>
    <t xml:space="preserve">ACT-018</t>
  </si>
  <si>
    <t xml:space="preserve">최종 가격 협상</t>
  </si>
  <si>
    <t xml:space="preserve">계약서 검토</t>
  </si>
  <si>
    <t xml:space="preserve">ACT-019</t>
  </si>
  <si>
    <t xml:space="preserve">계약</t>
  </si>
  <si>
    <r>
      <rPr>
        <sz val="10"/>
        <rFont val="Arial"/>
        <family val="0"/>
        <charset val="1"/>
      </rPr>
      <t xml:space="preserve">HRM </t>
    </r>
    <r>
      <rPr>
        <sz val="10"/>
        <rFont val="Noto Sans CJK SC"/>
        <family val="2"/>
      </rPr>
      <t xml:space="preserve">클라우드 계약 체결</t>
    </r>
  </si>
  <si>
    <t xml:space="preserve">킥오프 미팅 준비</t>
  </si>
  <si>
    <t xml:space="preserve">2026-04-15</t>
  </si>
  <si>
    <t xml:space="preserve">ACT-020</t>
  </si>
  <si>
    <t xml:space="preserve">POC</t>
  </si>
  <si>
    <r>
      <rPr>
        <sz val="10"/>
        <rFont val="Arial"/>
        <family val="0"/>
        <charset val="1"/>
      </rPr>
      <t xml:space="preserve">WMS 3.0 POC </t>
    </r>
    <r>
      <rPr>
        <sz val="10"/>
        <rFont val="Noto Sans CJK SC"/>
        <family val="2"/>
      </rPr>
      <t xml:space="preserve">시작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주 예정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</si>
  <si>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POC </t>
    </r>
    <r>
      <rPr>
        <sz val="10"/>
        <rFont val="Noto Sans CJK SC"/>
        <family val="2"/>
      </rPr>
      <t xml:space="preserve">결과 리포트 제출</t>
    </r>
  </si>
  <si>
    <r>
      <rPr>
        <b val="true"/>
        <sz val="11"/>
        <color rgb="FFFFFFFF"/>
        <rFont val="Noto Sans CJK SC"/>
        <family val="2"/>
      </rPr>
      <t xml:space="preserve">제품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</si>
  <si>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1"/>
        <color rgb="FFFFFFFF"/>
        <rFont val="Noto Sans CJK SC"/>
        <family val="2"/>
      </rPr>
      <t xml:space="preserve">제품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서비스명</t>
    </r>
  </si>
  <si>
    <t xml:space="preserve">카테고리</t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</si>
  <si>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만원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</si>
  <si>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라이선스유형</t>
  </si>
  <si>
    <t xml:space="preserve">설명</t>
  </si>
  <si>
    <t xml:space="preserve">PRD-001</t>
  </si>
  <si>
    <t xml:space="preserve">ERP</t>
  </si>
  <si>
    <r>
      <rPr>
        <sz val="10"/>
        <rFont val="Noto Sans CJK SC"/>
        <family val="2"/>
      </rPr>
      <t xml:space="preserve">영구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유지보수</t>
    </r>
  </si>
  <si>
    <r>
      <rPr>
        <sz val="10"/>
        <rFont val="Noto Sans CJK SC"/>
        <family val="2"/>
      </rPr>
      <t xml:space="preserve">중견기업용 통합 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솔루션</t>
    </r>
  </si>
  <si>
    <t xml:space="preserve">PRD-002</t>
  </si>
  <si>
    <t xml:space="preserve">스마트팩토리</t>
  </si>
  <si>
    <t xml:space="preserve">프로젝트</t>
  </si>
  <si>
    <r>
      <rPr>
        <sz val="10"/>
        <rFont val="Noto Sans CJK SC"/>
        <family val="2"/>
      </rPr>
      <t xml:space="preserve">제조실행시스템 </t>
    </r>
    <r>
      <rPr>
        <sz val="10"/>
        <rFont val="Arial"/>
        <family val="0"/>
        <charset val="1"/>
      </rPr>
      <t xml:space="preserve">+ IoT </t>
    </r>
    <r>
      <rPr>
        <sz val="10"/>
        <rFont val="Noto Sans CJK SC"/>
        <family val="2"/>
      </rPr>
      <t xml:space="preserve">센서 패키지</t>
    </r>
  </si>
  <si>
    <t xml:space="preserve">PRD-003</t>
  </si>
  <si>
    <t xml:space="preserve">물류</t>
  </si>
  <si>
    <r>
      <rPr>
        <sz val="10"/>
        <rFont val="Noto Sans CJK SC"/>
        <family val="2"/>
      </rPr>
      <t xml:space="preserve">월 구독</t>
    </r>
    <r>
      <rPr>
        <sz val="10"/>
        <rFont val="Arial"/>
        <family val="0"/>
        <charset val="1"/>
      </rPr>
      <t xml:space="preserve">(SaaS)</t>
    </r>
  </si>
  <si>
    <t xml:space="preserve">운송관리 클라우드 서비스</t>
  </si>
  <si>
    <t xml:space="preserve">PRD-004</t>
  </si>
  <si>
    <t xml:space="preserve">의료</t>
  </si>
  <si>
    <t xml:space="preserve">전자의무기록 시스템 연동 모듈</t>
  </si>
  <si>
    <t xml:space="preserve">PRD-005</t>
  </si>
  <si>
    <t xml:space="preserve">품질관리</t>
  </si>
  <si>
    <t xml:space="preserve">통계적 공정관리 소프트웨어</t>
  </si>
  <si>
    <t xml:space="preserve">PRD-006</t>
  </si>
  <si>
    <t xml:space="preserve">식품안전</t>
  </si>
  <si>
    <t xml:space="preserve">연간 구독</t>
  </si>
  <si>
    <r>
      <rPr>
        <sz val="10"/>
        <rFont val="Arial"/>
        <family val="0"/>
        <charset val="1"/>
      </rPr>
      <t xml:space="preserve">HACCP </t>
    </r>
    <r>
      <rPr>
        <sz val="10"/>
        <rFont val="Noto Sans CJK SC"/>
        <family val="2"/>
      </rPr>
      <t xml:space="preserve">및 품질관리 통합 플랫폼</t>
    </r>
  </si>
  <si>
    <t xml:space="preserve">PRD-007</t>
  </si>
  <si>
    <t xml:space="preserve">HR</t>
  </si>
  <si>
    <t xml:space="preserve">인사관리 클라우드 서비스</t>
  </si>
  <si>
    <t xml:space="preserve">PRD-008</t>
  </si>
  <si>
    <t xml:space="preserve">안전관리</t>
  </si>
  <si>
    <r>
      <rPr>
        <sz val="10"/>
        <rFont val="Noto Sans CJK SC"/>
        <family val="2"/>
      </rPr>
      <t xml:space="preserve">건설현장 </t>
    </r>
    <r>
      <rPr>
        <sz val="10"/>
        <rFont val="Arial"/>
        <family val="0"/>
        <charset val="1"/>
      </rPr>
      <t xml:space="preserve">IoT </t>
    </r>
    <r>
      <rPr>
        <sz val="10"/>
        <rFont val="Noto Sans CJK SC"/>
        <family val="2"/>
      </rPr>
      <t xml:space="preserve">기반 안전관제</t>
    </r>
  </si>
  <si>
    <t xml:space="preserve">PRD-009</t>
  </si>
  <si>
    <r>
      <rPr>
        <sz val="10"/>
        <rFont val="Arial"/>
        <family val="0"/>
        <charset val="1"/>
      </rPr>
      <t xml:space="preserve">AI/</t>
    </r>
    <r>
      <rPr>
        <sz val="10"/>
        <rFont val="Noto Sans CJK SC"/>
        <family val="2"/>
      </rPr>
      <t xml:space="preserve">데이터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</si>
  <si>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기반 데이터 분석 플랫폼</t>
    </r>
  </si>
  <si>
    <t xml:space="preserve">PRD-010</t>
  </si>
  <si>
    <t xml:space="preserve">차세대 창고관리 시스템</t>
  </si>
  <si>
    <t xml:space="preserve">PRD-011</t>
  </si>
  <si>
    <t xml:space="preserve">협업</t>
  </si>
  <si>
    <t xml:space="preserve">클라우드 기반 협업 플랫폼</t>
  </si>
  <si>
    <t xml:space="preserve">PRD-012</t>
  </si>
  <si>
    <t xml:space="preserve">보안</t>
  </si>
  <si>
    <t xml:space="preserve">관리형 탐지 및 대응 서비스</t>
  </si>
  <si>
    <t xml:space="preserve">PRD-013</t>
  </si>
  <si>
    <t xml:space="preserve">공급망</t>
  </si>
  <si>
    <t xml:space="preserve">공급망 통합 관리 플랫폼</t>
  </si>
  <si>
    <t xml:space="preserve">PRD-014</t>
  </si>
  <si>
    <t xml:space="preserve">ESG</t>
  </si>
  <si>
    <r>
      <rPr>
        <sz val="10"/>
        <rFont val="Noto Sans CJK SC"/>
        <family val="2"/>
      </rPr>
      <t xml:space="preserve">탄소배출 모니터링 및 </t>
    </r>
    <r>
      <rPr>
        <sz val="10"/>
        <rFont val="Arial"/>
        <family val="0"/>
        <charset val="1"/>
      </rPr>
      <t xml:space="preserve">ESG </t>
    </r>
    <r>
      <rPr>
        <sz val="10"/>
        <rFont val="Noto Sans CJK SC"/>
        <family val="2"/>
      </rPr>
      <t xml:space="preserve">리포팅</t>
    </r>
  </si>
  <si>
    <r>
      <rPr>
        <b val="true"/>
        <sz val="14"/>
        <color rgb="FF2F5496"/>
        <rFont val="Noto Sans CJK SC"/>
        <family val="2"/>
      </rPr>
      <t xml:space="preserve">영업 파이프라인 요약 </t>
    </r>
    <r>
      <rPr>
        <b val="true"/>
        <sz val="14"/>
        <color rgb="FF2F5496"/>
        <rFont val="Arial"/>
        <family val="0"/>
        <charset val="1"/>
      </rPr>
      <t xml:space="preserve">(2026</t>
    </r>
    <r>
      <rPr>
        <b val="true"/>
        <sz val="14"/>
        <color rgb="FF2F5496"/>
        <rFont val="Noto Sans CJK SC"/>
        <family val="2"/>
      </rPr>
      <t xml:space="preserve">년 </t>
    </r>
    <r>
      <rPr>
        <b val="true"/>
        <sz val="14"/>
        <color rgb="FF2F5496"/>
        <rFont val="Arial"/>
        <family val="0"/>
        <charset val="1"/>
      </rPr>
      <t xml:space="preserve">4</t>
    </r>
    <r>
      <rPr>
        <b val="true"/>
        <sz val="14"/>
        <color rgb="FF2F5496"/>
        <rFont val="Noto Sans CJK SC"/>
        <family val="2"/>
      </rPr>
      <t xml:space="preserve">월 기준</t>
    </r>
    <r>
      <rPr>
        <b val="true"/>
        <sz val="14"/>
        <color rgb="FF2F5496"/>
        <rFont val="Arial"/>
        <family val="0"/>
        <charset val="1"/>
      </rPr>
      <t xml:space="preserve">)</t>
    </r>
  </si>
  <si>
    <t xml:space="preserve">■ 단계별 현황</t>
  </si>
  <si>
    <t xml:space="preserve">건수</t>
  </si>
  <si>
    <r>
      <rPr>
        <b val="true"/>
        <sz val="11"/>
        <color rgb="FFFFFFFF"/>
        <rFont val="Noto Sans CJK SC"/>
        <family val="2"/>
      </rPr>
      <t xml:space="preserve">예상매출합계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만원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</si>
  <si>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가중매출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만원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</si>
  <si>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평균성공률</t>
  </si>
  <si>
    <t xml:space="preserve">합계</t>
  </si>
  <si>
    <t xml:space="preserve">■ 영업담당별 현황</t>
  </si>
  <si>
    <t xml:space="preserve">담당건수</t>
  </si>
  <si>
    <t xml:space="preserve">계약완료건수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</si>
</sst>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color rgb="FF2F5496"/>
      <name val="Noto Sans CJK SC"/>
      <family val="2"/>
    </font>
    <font>
      <b val="true"/>
      <sz val="14"/>
      <color rgb="FF2F5496"/>
      <name val="Arial"/>
      <family val="0"/>
      <charset val="1"/>
    </font>
    <font>
      <b val="true"/>
      <sz val="12"/>
      <color rgb="FF2F5496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CE4D6"/>
        <bgColor rgb="FFFDE9D9"/>
      </patternFill>
    </fill>
    <fill>
      <patternFill patternType="solid">
        <fgColor rgb="FFE2EFDA"/>
        <bgColor rgb="FFEBF1DE"/>
      </patternFill>
    </fill>
    <fill>
      <patternFill patternType="solid">
        <fgColor rgb="FFBDD7EE"/>
        <bgColor rgb="FFD9D9D9"/>
      </patternFill>
    </fill>
    <fill>
      <patternFill patternType="solid">
        <fgColor rgb="FFD6E4F0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F2DCDB"/>
        <bgColor rgb="FFFCE4D6"/>
      </patternFill>
    </fill>
    <fill>
      <patternFill patternType="solid">
        <fgColor rgb="FFFDE9D9"/>
        <bgColor rgb="FFFCE4D6"/>
      </patternFill>
    </fill>
    <fill>
      <patternFill patternType="solid">
        <fgColor rgb="FFDAEEF3"/>
        <bgColor rgb="FFD6E4F0"/>
      </patternFill>
    </fill>
    <fill>
      <patternFill patternType="solid">
        <fgColor rgb="FFEBF1DE"/>
        <bgColor rgb="FFE2EFDA"/>
      </patternFill>
    </fill>
    <fill>
      <patternFill patternType="solid">
        <fgColor rgb="FFE4DFEC"/>
        <bgColor rgb="FFD9E2F3"/>
      </patternFill>
    </fill>
    <fill>
      <patternFill patternType="solid">
        <fgColor rgb="FFD9E2F3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DE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D9E2F3"/>
      <rgbColor rgb="FF993366"/>
      <rgbColor rgb="FFEBF1DE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DE9D9"/>
      <rgbColor rgb="FFD6E4F0"/>
      <rgbColor rgb="FFFCE4D6"/>
      <rgbColor rgb="FFE4DFEC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6.6"/>
    <col collapsed="false" customWidth="true" hidden="false" outlineLevel="0" max="13" min="8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1.75" hidden="false" customHeight="true" outlineLevel="0" collapsed="false">
      <c r="A2" s="2" t="s">
        <v>13</v>
      </c>
      <c r="B2" s="2" t="s">
        <v>14</v>
      </c>
      <c r="C2" s="3" t="s">
        <v>15</v>
      </c>
      <c r="D2" s="3" t="s">
        <v>16</v>
      </c>
      <c r="E2" s="2" t="n">
        <v>2015</v>
      </c>
      <c r="F2" s="4" t="n">
        <v>120</v>
      </c>
      <c r="G2" s="4" t="n">
        <v>85</v>
      </c>
      <c r="H2" s="2" t="s">
        <v>17</v>
      </c>
      <c r="I2" s="3" t="s">
        <v>18</v>
      </c>
      <c r="J2" s="3" t="s">
        <v>19</v>
      </c>
      <c r="K2" s="2" t="s">
        <v>20</v>
      </c>
      <c r="L2" s="2" t="s">
        <v>21</v>
      </c>
      <c r="M2" s="2" t="s">
        <v>22</v>
      </c>
    </row>
    <row r="3" customFormat="false" ht="21.75" hidden="false" customHeight="true" outlineLevel="0" collapsed="false">
      <c r="A3" s="2" t="s">
        <v>23</v>
      </c>
      <c r="B3" s="3" t="s">
        <v>24</v>
      </c>
      <c r="C3" s="2" t="s">
        <v>25</v>
      </c>
      <c r="D3" s="3" t="s">
        <v>26</v>
      </c>
      <c r="E3" s="2" t="n">
        <v>2018</v>
      </c>
      <c r="F3" s="4" t="n">
        <v>45</v>
      </c>
      <c r="G3" s="4" t="n">
        <v>32</v>
      </c>
      <c r="H3" s="2" t="s">
        <v>27</v>
      </c>
      <c r="I3" s="3" t="s">
        <v>28</v>
      </c>
      <c r="J3" s="3" t="s">
        <v>29</v>
      </c>
      <c r="K3" s="2" t="s">
        <v>30</v>
      </c>
      <c r="L3" s="2" t="s">
        <v>31</v>
      </c>
      <c r="M3" s="2" t="s">
        <v>32</v>
      </c>
    </row>
    <row r="4" customFormat="false" ht="21.75" hidden="false" customHeight="true" outlineLevel="0" collapsed="false">
      <c r="A4" s="2" t="s">
        <v>33</v>
      </c>
      <c r="B4" s="3" t="s">
        <v>34</v>
      </c>
      <c r="C4" s="3" t="s">
        <v>35</v>
      </c>
      <c r="D4" s="3" t="s">
        <v>36</v>
      </c>
      <c r="E4" s="2" t="n">
        <v>2005</v>
      </c>
      <c r="F4" s="4" t="n">
        <v>350</v>
      </c>
      <c r="G4" s="4" t="n">
        <v>420</v>
      </c>
      <c r="H4" s="2" t="s">
        <v>37</v>
      </c>
      <c r="I4" s="3" t="s">
        <v>38</v>
      </c>
      <c r="J4" s="3" t="s">
        <v>39</v>
      </c>
      <c r="K4" s="2" t="s">
        <v>40</v>
      </c>
      <c r="L4" s="2" t="s">
        <v>41</v>
      </c>
      <c r="M4" s="2" t="s">
        <v>42</v>
      </c>
    </row>
    <row r="5" customFormat="false" ht="21.75" hidden="false" customHeight="true" outlineLevel="0" collapsed="false">
      <c r="A5" s="2" t="s">
        <v>43</v>
      </c>
      <c r="B5" s="3" t="s">
        <v>44</v>
      </c>
      <c r="C5" s="3" t="s">
        <v>45</v>
      </c>
      <c r="D5" s="3" t="s">
        <v>46</v>
      </c>
      <c r="E5" s="2" t="n">
        <v>2012</v>
      </c>
      <c r="F5" s="4" t="n">
        <v>80</v>
      </c>
      <c r="G5" s="4" t="n">
        <v>150</v>
      </c>
      <c r="H5" s="2" t="s">
        <v>17</v>
      </c>
      <c r="I5" s="3" t="s">
        <v>47</v>
      </c>
      <c r="J5" s="3" t="s">
        <v>48</v>
      </c>
      <c r="K5" s="2" t="s">
        <v>49</v>
      </c>
      <c r="L5" s="2" t="s">
        <v>50</v>
      </c>
      <c r="M5" s="2" t="s">
        <v>51</v>
      </c>
    </row>
    <row r="6" customFormat="false" ht="21.75" hidden="false" customHeight="true" outlineLevel="0" collapsed="false">
      <c r="A6" s="2" t="s">
        <v>52</v>
      </c>
      <c r="B6" s="3" t="s">
        <v>53</v>
      </c>
      <c r="C6" s="3" t="s">
        <v>54</v>
      </c>
      <c r="D6" s="3" t="s">
        <v>55</v>
      </c>
      <c r="E6" s="2" t="n">
        <v>2016</v>
      </c>
      <c r="F6" s="4" t="n">
        <v>95</v>
      </c>
      <c r="G6" s="4" t="n">
        <v>68</v>
      </c>
      <c r="H6" s="2" t="s">
        <v>27</v>
      </c>
      <c r="I6" s="3" t="s">
        <v>56</v>
      </c>
      <c r="J6" s="3" t="s">
        <v>57</v>
      </c>
      <c r="K6" s="2" t="s">
        <v>58</v>
      </c>
      <c r="L6" s="2" t="s">
        <v>59</v>
      </c>
      <c r="M6" s="2" t="s">
        <v>60</v>
      </c>
    </row>
    <row r="7" customFormat="false" ht="21.75" hidden="false" customHeight="true" outlineLevel="0" collapsed="false">
      <c r="A7" s="2" t="s">
        <v>61</v>
      </c>
      <c r="B7" s="3" t="s">
        <v>62</v>
      </c>
      <c r="C7" s="3" t="s">
        <v>63</v>
      </c>
      <c r="D7" s="3" t="s">
        <v>64</v>
      </c>
      <c r="E7" s="2" t="n">
        <v>2019</v>
      </c>
      <c r="F7" s="4" t="n">
        <v>35</v>
      </c>
      <c r="G7" s="4" t="n">
        <v>22</v>
      </c>
      <c r="H7" s="2" t="s">
        <v>65</v>
      </c>
      <c r="I7" s="3" t="s">
        <v>18</v>
      </c>
      <c r="J7" s="3" t="s">
        <v>66</v>
      </c>
      <c r="K7" s="2" t="s">
        <v>67</v>
      </c>
      <c r="L7" s="2" t="s">
        <v>68</v>
      </c>
      <c r="M7" s="2" t="s">
        <v>69</v>
      </c>
    </row>
    <row r="8" customFormat="false" ht="21.75" hidden="false" customHeight="true" outlineLevel="0" collapsed="false">
      <c r="A8" s="2" t="s">
        <v>70</v>
      </c>
      <c r="B8" s="2" t="s">
        <v>71</v>
      </c>
      <c r="C8" s="3" t="s">
        <v>72</v>
      </c>
      <c r="D8" s="3" t="s">
        <v>73</v>
      </c>
      <c r="E8" s="2" t="n">
        <v>2010</v>
      </c>
      <c r="F8" s="4" t="n">
        <v>210</v>
      </c>
      <c r="G8" s="4" t="n">
        <v>280</v>
      </c>
      <c r="H8" s="2" t="s">
        <v>37</v>
      </c>
      <c r="I8" s="3" t="s">
        <v>28</v>
      </c>
      <c r="J8" s="3" t="s">
        <v>74</v>
      </c>
      <c r="K8" s="2" t="s">
        <v>75</v>
      </c>
      <c r="L8" s="2" t="s">
        <v>76</v>
      </c>
      <c r="M8" s="2" t="s">
        <v>77</v>
      </c>
    </row>
    <row r="9" customFormat="false" ht="21.75" hidden="false" customHeight="true" outlineLevel="0" collapsed="false">
      <c r="A9" s="2" t="s">
        <v>78</v>
      </c>
      <c r="B9" s="3" t="s">
        <v>79</v>
      </c>
      <c r="C9" s="3" t="s">
        <v>80</v>
      </c>
      <c r="D9" s="3" t="s">
        <v>81</v>
      </c>
      <c r="E9" s="2" t="n">
        <v>2008</v>
      </c>
      <c r="F9" s="4" t="n">
        <v>180</v>
      </c>
      <c r="G9" s="4" t="n">
        <v>310</v>
      </c>
      <c r="H9" s="2" t="s">
        <v>17</v>
      </c>
      <c r="I9" s="3" t="s">
        <v>18</v>
      </c>
      <c r="J9" s="3" t="s">
        <v>82</v>
      </c>
      <c r="K9" s="2" t="s">
        <v>83</v>
      </c>
      <c r="L9" s="2" t="s">
        <v>84</v>
      </c>
      <c r="M9" s="2" t="s">
        <v>85</v>
      </c>
    </row>
    <row r="10" customFormat="false" ht="21.75" hidden="false" customHeight="true" outlineLevel="0" collapsed="false">
      <c r="A10" s="2" t="s">
        <v>86</v>
      </c>
      <c r="B10" s="3" t="s">
        <v>87</v>
      </c>
      <c r="C10" s="2" t="s">
        <v>88</v>
      </c>
      <c r="D10" s="3" t="s">
        <v>89</v>
      </c>
      <c r="E10" s="2" t="n">
        <v>2020</v>
      </c>
      <c r="F10" s="4" t="n">
        <v>28</v>
      </c>
      <c r="G10" s="4" t="n">
        <v>15</v>
      </c>
      <c r="H10" s="2" t="s">
        <v>65</v>
      </c>
      <c r="I10" s="3" t="s">
        <v>18</v>
      </c>
      <c r="J10" s="3" t="s">
        <v>90</v>
      </c>
      <c r="K10" s="2" t="s">
        <v>91</v>
      </c>
      <c r="L10" s="2" t="s">
        <v>92</v>
      </c>
      <c r="M10" s="2" t="s">
        <v>93</v>
      </c>
    </row>
    <row r="11" customFormat="false" ht="21.75" hidden="false" customHeight="true" outlineLevel="0" collapsed="false">
      <c r="A11" s="2" t="s">
        <v>94</v>
      </c>
      <c r="B11" s="2" t="s">
        <v>95</v>
      </c>
      <c r="C11" s="3" t="s">
        <v>96</v>
      </c>
      <c r="D11" s="3" t="s">
        <v>97</v>
      </c>
      <c r="E11" s="2" t="n">
        <v>2001</v>
      </c>
      <c r="F11" s="4" t="n">
        <v>500</v>
      </c>
      <c r="G11" s="4" t="n">
        <v>620</v>
      </c>
      <c r="H11" s="2" t="s">
        <v>37</v>
      </c>
      <c r="I11" s="3" t="s">
        <v>28</v>
      </c>
      <c r="J11" s="3" t="s">
        <v>98</v>
      </c>
      <c r="K11" s="2" t="s">
        <v>99</v>
      </c>
      <c r="L11" s="2" t="s">
        <v>100</v>
      </c>
      <c r="M11" s="2" t="s">
        <v>101</v>
      </c>
    </row>
    <row r="12" customFormat="false" ht="21.75" hidden="false" customHeight="true" outlineLevel="0" collapsed="false">
      <c r="A12" s="2" t="s">
        <v>102</v>
      </c>
      <c r="B12" s="3" t="s">
        <v>103</v>
      </c>
      <c r="C12" s="3" t="s">
        <v>104</v>
      </c>
      <c r="D12" s="3" t="s">
        <v>105</v>
      </c>
      <c r="E12" s="2" t="n">
        <v>2014</v>
      </c>
      <c r="F12" s="4" t="n">
        <v>150</v>
      </c>
      <c r="G12" s="4" t="n">
        <v>180</v>
      </c>
      <c r="H12" s="2" t="s">
        <v>17</v>
      </c>
      <c r="I12" s="3" t="s">
        <v>47</v>
      </c>
      <c r="J12" s="3" t="s">
        <v>106</v>
      </c>
      <c r="K12" s="2" t="s">
        <v>107</v>
      </c>
      <c r="L12" s="2" t="s">
        <v>108</v>
      </c>
      <c r="M12" s="2" t="s">
        <v>109</v>
      </c>
    </row>
    <row r="13" customFormat="false" ht="21.75" hidden="false" customHeight="true" outlineLevel="0" collapsed="false">
      <c r="A13" s="2" t="s">
        <v>110</v>
      </c>
      <c r="B13" s="3" t="s">
        <v>111</v>
      </c>
      <c r="C13" s="3" t="s">
        <v>112</v>
      </c>
      <c r="D13" s="3" t="s">
        <v>113</v>
      </c>
      <c r="E13" s="2" t="n">
        <v>2017</v>
      </c>
      <c r="F13" s="4" t="n">
        <v>60</v>
      </c>
      <c r="G13" s="4" t="n">
        <v>45</v>
      </c>
      <c r="H13" s="2" t="s">
        <v>27</v>
      </c>
      <c r="I13" s="3" t="s">
        <v>18</v>
      </c>
      <c r="J13" s="3" t="s">
        <v>114</v>
      </c>
      <c r="K13" s="2" t="s">
        <v>115</v>
      </c>
      <c r="L13" s="2" t="s">
        <v>116</v>
      </c>
      <c r="M13" s="2" t="s">
        <v>117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  <col collapsed="false" customWidth="true" hidden="false" outlineLevel="0" max="8" min="8" style="0" width="14.8"/>
    <col collapsed="false" customWidth="true" hidden="false" outlineLevel="0" max="10" min="9" style="0" width="14"/>
  </cols>
  <sheetData>
    <row r="1" customFormat="false" ht="27.75" hidden="false" customHeight="true" outlineLevel="0" collapsed="false">
      <c r="A1" s="1" t="s">
        <v>118</v>
      </c>
      <c r="B1" s="1" t="s">
        <v>0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</row>
    <row r="2" customFormat="false" ht="21.75" hidden="false" customHeight="true" outlineLevel="0" collapsed="false">
      <c r="A2" s="2" t="s">
        <v>127</v>
      </c>
      <c r="B2" s="2" t="s">
        <v>13</v>
      </c>
      <c r="C2" s="3" t="s">
        <v>16</v>
      </c>
      <c r="D2" s="3" t="s">
        <v>128</v>
      </c>
      <c r="E2" s="3" t="s">
        <v>129</v>
      </c>
      <c r="F2" s="2" t="s">
        <v>130</v>
      </c>
      <c r="G2" s="2" t="s">
        <v>131</v>
      </c>
      <c r="H2" s="3" t="s">
        <v>132</v>
      </c>
      <c r="I2" s="2" t="s">
        <v>133</v>
      </c>
      <c r="J2" s="2" t="s">
        <v>134</v>
      </c>
    </row>
    <row r="3" customFormat="false" ht="21.75" hidden="false" customHeight="true" outlineLevel="0" collapsed="false">
      <c r="A3" s="2" t="s">
        <v>135</v>
      </c>
      <c r="B3" s="2" t="s">
        <v>13</v>
      </c>
      <c r="C3" s="3" t="s">
        <v>136</v>
      </c>
      <c r="D3" s="3" t="s">
        <v>137</v>
      </c>
      <c r="E3" s="2" t="s">
        <v>138</v>
      </c>
      <c r="F3" s="2" t="s">
        <v>139</v>
      </c>
      <c r="G3" s="2" t="s">
        <v>140</v>
      </c>
      <c r="H3" s="3" t="s">
        <v>141</v>
      </c>
      <c r="I3" s="2" t="s">
        <v>142</v>
      </c>
      <c r="J3" s="2" t="s">
        <v>143</v>
      </c>
    </row>
    <row r="4" customFormat="false" ht="21.75" hidden="false" customHeight="true" outlineLevel="0" collapsed="false">
      <c r="A4" s="2" t="s">
        <v>144</v>
      </c>
      <c r="B4" s="2" t="s">
        <v>23</v>
      </c>
      <c r="C4" s="3" t="s">
        <v>26</v>
      </c>
      <c r="D4" s="3" t="s">
        <v>145</v>
      </c>
      <c r="E4" s="3" t="s">
        <v>129</v>
      </c>
      <c r="F4" s="2" t="s">
        <v>146</v>
      </c>
      <c r="G4" s="2" t="s">
        <v>147</v>
      </c>
      <c r="H4" s="3" t="s">
        <v>132</v>
      </c>
      <c r="I4" s="2" t="s">
        <v>133</v>
      </c>
      <c r="J4" s="2" t="s">
        <v>148</v>
      </c>
    </row>
    <row r="5" customFormat="false" ht="21.75" hidden="false" customHeight="true" outlineLevel="0" collapsed="false">
      <c r="A5" s="2" t="s">
        <v>149</v>
      </c>
      <c r="B5" s="2" t="s">
        <v>33</v>
      </c>
      <c r="C5" s="3" t="s">
        <v>36</v>
      </c>
      <c r="D5" s="3" t="s">
        <v>128</v>
      </c>
      <c r="E5" s="3" t="s">
        <v>129</v>
      </c>
      <c r="F5" s="2" t="s">
        <v>150</v>
      </c>
      <c r="G5" s="2" t="s">
        <v>151</v>
      </c>
      <c r="H5" s="3" t="s">
        <v>132</v>
      </c>
      <c r="I5" s="2" t="s">
        <v>152</v>
      </c>
      <c r="J5" s="2" t="s">
        <v>153</v>
      </c>
    </row>
    <row r="6" customFormat="false" ht="21.75" hidden="false" customHeight="true" outlineLevel="0" collapsed="false">
      <c r="A6" s="2" t="s">
        <v>154</v>
      </c>
      <c r="B6" s="2" t="s">
        <v>33</v>
      </c>
      <c r="C6" s="3" t="s">
        <v>155</v>
      </c>
      <c r="D6" s="3" t="s">
        <v>156</v>
      </c>
      <c r="E6" s="3" t="s">
        <v>157</v>
      </c>
      <c r="F6" s="2" t="s">
        <v>158</v>
      </c>
      <c r="G6" s="2" t="s">
        <v>159</v>
      </c>
      <c r="H6" s="3" t="s">
        <v>160</v>
      </c>
      <c r="I6" s="2" t="s">
        <v>142</v>
      </c>
      <c r="J6" s="2" t="s">
        <v>161</v>
      </c>
    </row>
    <row r="7" customFormat="false" ht="21.75" hidden="false" customHeight="true" outlineLevel="0" collapsed="false">
      <c r="A7" s="2" t="s">
        <v>162</v>
      </c>
      <c r="B7" s="2" t="s">
        <v>43</v>
      </c>
      <c r="C7" s="3" t="s">
        <v>46</v>
      </c>
      <c r="D7" s="3" t="s">
        <v>145</v>
      </c>
      <c r="E7" s="3" t="s">
        <v>129</v>
      </c>
      <c r="F7" s="2" t="s">
        <v>163</v>
      </c>
      <c r="G7" s="2" t="s">
        <v>164</v>
      </c>
      <c r="H7" s="3" t="s">
        <v>132</v>
      </c>
      <c r="I7" s="2" t="s">
        <v>142</v>
      </c>
      <c r="J7" s="2" t="s">
        <v>165</v>
      </c>
    </row>
    <row r="8" customFormat="false" ht="21.75" hidden="false" customHeight="true" outlineLevel="0" collapsed="false">
      <c r="A8" s="2" t="s">
        <v>166</v>
      </c>
      <c r="B8" s="2" t="s">
        <v>52</v>
      </c>
      <c r="C8" s="3" t="s">
        <v>55</v>
      </c>
      <c r="D8" s="3" t="s">
        <v>145</v>
      </c>
      <c r="E8" s="3" t="s">
        <v>129</v>
      </c>
      <c r="F8" s="2" t="s">
        <v>167</v>
      </c>
      <c r="G8" s="2" t="s">
        <v>168</v>
      </c>
      <c r="H8" s="3" t="s">
        <v>132</v>
      </c>
      <c r="I8" s="2" t="s">
        <v>152</v>
      </c>
      <c r="J8" s="2" t="s">
        <v>169</v>
      </c>
    </row>
    <row r="9" customFormat="false" ht="21.75" hidden="false" customHeight="true" outlineLevel="0" collapsed="false">
      <c r="A9" s="2" t="s">
        <v>170</v>
      </c>
      <c r="B9" s="2" t="s">
        <v>52</v>
      </c>
      <c r="C9" s="3" t="s">
        <v>171</v>
      </c>
      <c r="D9" s="3" t="s">
        <v>172</v>
      </c>
      <c r="E9" s="3" t="s">
        <v>173</v>
      </c>
      <c r="F9" s="2" t="s">
        <v>174</v>
      </c>
      <c r="G9" s="2" t="s">
        <v>175</v>
      </c>
      <c r="H9" s="3" t="s">
        <v>160</v>
      </c>
      <c r="I9" s="2" t="s">
        <v>142</v>
      </c>
      <c r="J9" s="2" t="s">
        <v>176</v>
      </c>
    </row>
    <row r="10" customFormat="false" ht="21.75" hidden="false" customHeight="true" outlineLevel="0" collapsed="false">
      <c r="A10" s="2" t="s">
        <v>177</v>
      </c>
      <c r="B10" s="2" t="s">
        <v>61</v>
      </c>
      <c r="C10" s="3" t="s">
        <v>64</v>
      </c>
      <c r="D10" s="3" t="s">
        <v>145</v>
      </c>
      <c r="E10" s="3" t="s">
        <v>129</v>
      </c>
      <c r="F10" s="2" t="s">
        <v>178</v>
      </c>
      <c r="G10" s="2" t="s">
        <v>179</v>
      </c>
      <c r="H10" s="3" t="s">
        <v>132</v>
      </c>
      <c r="I10" s="2" t="s">
        <v>180</v>
      </c>
      <c r="J10" s="2" t="s">
        <v>181</v>
      </c>
    </row>
    <row r="11" customFormat="false" ht="21.75" hidden="false" customHeight="true" outlineLevel="0" collapsed="false">
      <c r="A11" s="2" t="s">
        <v>182</v>
      </c>
      <c r="B11" s="2" t="s">
        <v>70</v>
      </c>
      <c r="C11" s="3" t="s">
        <v>73</v>
      </c>
      <c r="D11" s="3" t="s">
        <v>128</v>
      </c>
      <c r="E11" s="3" t="s">
        <v>129</v>
      </c>
      <c r="F11" s="2" t="s">
        <v>183</v>
      </c>
      <c r="G11" s="2" t="s">
        <v>184</v>
      </c>
      <c r="H11" s="3" t="s">
        <v>132</v>
      </c>
      <c r="I11" s="2" t="s">
        <v>133</v>
      </c>
      <c r="J11" s="2" t="s">
        <v>185</v>
      </c>
    </row>
    <row r="12" customFormat="false" ht="21.75" hidden="false" customHeight="true" outlineLevel="0" collapsed="false">
      <c r="A12" s="2" t="s">
        <v>186</v>
      </c>
      <c r="B12" s="2" t="s">
        <v>70</v>
      </c>
      <c r="C12" s="3" t="s">
        <v>187</v>
      </c>
      <c r="D12" s="3" t="s">
        <v>188</v>
      </c>
      <c r="E12" s="3" t="s">
        <v>189</v>
      </c>
      <c r="F12" s="2" t="s">
        <v>190</v>
      </c>
      <c r="G12" s="2" t="s">
        <v>191</v>
      </c>
      <c r="H12" s="3" t="s">
        <v>141</v>
      </c>
      <c r="I12" s="2" t="s">
        <v>142</v>
      </c>
      <c r="J12" s="2" t="s">
        <v>192</v>
      </c>
    </row>
    <row r="13" customFormat="false" ht="21.75" hidden="false" customHeight="true" outlineLevel="0" collapsed="false">
      <c r="A13" s="2" t="s">
        <v>193</v>
      </c>
      <c r="B13" s="2" t="s">
        <v>78</v>
      </c>
      <c r="C13" s="3" t="s">
        <v>81</v>
      </c>
      <c r="D13" s="3" t="s">
        <v>128</v>
      </c>
      <c r="E13" s="3" t="s">
        <v>129</v>
      </c>
      <c r="F13" s="2" t="s">
        <v>194</v>
      </c>
      <c r="G13" s="2" t="s">
        <v>195</v>
      </c>
      <c r="H13" s="3" t="s">
        <v>132</v>
      </c>
      <c r="I13" s="2" t="s">
        <v>142</v>
      </c>
      <c r="J13" s="2" t="s">
        <v>196</v>
      </c>
    </row>
    <row r="14" customFormat="false" ht="21.75" hidden="false" customHeight="true" outlineLevel="0" collapsed="false">
      <c r="A14" s="2" t="s">
        <v>197</v>
      </c>
      <c r="B14" s="2" t="s">
        <v>86</v>
      </c>
      <c r="C14" s="3" t="s">
        <v>89</v>
      </c>
      <c r="D14" s="3" t="s">
        <v>145</v>
      </c>
      <c r="E14" s="3" t="s">
        <v>129</v>
      </c>
      <c r="F14" s="2" t="s">
        <v>198</v>
      </c>
      <c r="G14" s="2" t="s">
        <v>199</v>
      </c>
      <c r="H14" s="3" t="s">
        <v>132</v>
      </c>
      <c r="I14" s="2" t="s">
        <v>152</v>
      </c>
      <c r="J14" s="2" t="s">
        <v>200</v>
      </c>
    </row>
    <row r="15" customFormat="false" ht="21.75" hidden="false" customHeight="true" outlineLevel="0" collapsed="false">
      <c r="A15" s="2" t="s">
        <v>201</v>
      </c>
      <c r="B15" s="2" t="s">
        <v>94</v>
      </c>
      <c r="C15" s="3" t="s">
        <v>97</v>
      </c>
      <c r="D15" s="3" t="s">
        <v>128</v>
      </c>
      <c r="E15" s="3" t="s">
        <v>129</v>
      </c>
      <c r="F15" s="2" t="s">
        <v>202</v>
      </c>
      <c r="G15" s="2" t="s">
        <v>203</v>
      </c>
      <c r="H15" s="3" t="s">
        <v>132</v>
      </c>
      <c r="I15" s="2" t="s">
        <v>133</v>
      </c>
      <c r="J15" s="2" t="s">
        <v>204</v>
      </c>
    </row>
    <row r="16" customFormat="false" ht="21.75" hidden="false" customHeight="true" outlineLevel="0" collapsed="false">
      <c r="A16" s="2" t="s">
        <v>205</v>
      </c>
      <c r="B16" s="2" t="s">
        <v>94</v>
      </c>
      <c r="C16" s="3" t="s">
        <v>206</v>
      </c>
      <c r="D16" s="3" t="s">
        <v>207</v>
      </c>
      <c r="E16" s="3" t="s">
        <v>208</v>
      </c>
      <c r="F16" s="2" t="s">
        <v>209</v>
      </c>
      <c r="G16" s="2" t="s">
        <v>210</v>
      </c>
      <c r="H16" s="3" t="s">
        <v>160</v>
      </c>
      <c r="I16" s="2" t="s">
        <v>142</v>
      </c>
      <c r="J16" s="2" t="s">
        <v>211</v>
      </c>
    </row>
    <row r="17" customFormat="false" ht="21.75" hidden="false" customHeight="true" outlineLevel="0" collapsed="false">
      <c r="A17" s="2" t="s">
        <v>212</v>
      </c>
      <c r="B17" s="2" t="s">
        <v>102</v>
      </c>
      <c r="C17" s="3" t="s">
        <v>105</v>
      </c>
      <c r="D17" s="3" t="s">
        <v>145</v>
      </c>
      <c r="E17" s="3" t="s">
        <v>129</v>
      </c>
      <c r="F17" s="2" t="s">
        <v>213</v>
      </c>
      <c r="G17" s="2" t="s">
        <v>214</v>
      </c>
      <c r="H17" s="3" t="s">
        <v>132</v>
      </c>
      <c r="I17" s="2" t="s">
        <v>142</v>
      </c>
      <c r="J17" s="2" t="s">
        <v>215</v>
      </c>
    </row>
    <row r="18" customFormat="false" ht="21.75" hidden="false" customHeight="true" outlineLevel="0" collapsed="false">
      <c r="A18" s="2" t="s">
        <v>216</v>
      </c>
      <c r="B18" s="2" t="s">
        <v>110</v>
      </c>
      <c r="C18" s="3" t="s">
        <v>113</v>
      </c>
      <c r="D18" s="3" t="s">
        <v>145</v>
      </c>
      <c r="E18" s="3" t="s">
        <v>129</v>
      </c>
      <c r="F18" s="2" t="s">
        <v>217</v>
      </c>
      <c r="G18" s="2" t="s">
        <v>218</v>
      </c>
      <c r="H18" s="3" t="s">
        <v>132</v>
      </c>
      <c r="I18" s="2" t="s">
        <v>152</v>
      </c>
      <c r="J18" s="2" t="s">
        <v>219</v>
      </c>
    </row>
    <row r="19" customFormat="false" ht="21.75" hidden="false" customHeight="true" outlineLevel="0" collapsed="false">
      <c r="A19" s="2" t="s">
        <v>220</v>
      </c>
      <c r="B19" s="2" t="s">
        <v>110</v>
      </c>
      <c r="C19" s="3" t="s">
        <v>221</v>
      </c>
      <c r="D19" s="3" t="s">
        <v>222</v>
      </c>
      <c r="E19" s="3" t="s">
        <v>223</v>
      </c>
      <c r="F19" s="2" t="s">
        <v>224</v>
      </c>
      <c r="G19" s="2" t="s">
        <v>225</v>
      </c>
      <c r="H19" s="3" t="s">
        <v>141</v>
      </c>
      <c r="I19" s="2" t="s">
        <v>142</v>
      </c>
      <c r="J19" s="2" t="s">
        <v>226</v>
      </c>
    </row>
  </sheetData>
  <autoFilter ref="A1:J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4.8"/>
    <col collapsed="false" customWidth="true" hidden="false" outlineLevel="0" max="7" min="7" style="0" width="18.4"/>
    <col collapsed="false" customWidth="true" hidden="false" outlineLevel="0" max="13" min="8" style="0" width="14"/>
  </cols>
  <sheetData>
    <row r="1" customFormat="false" ht="27.75" hidden="false" customHeight="true" outlineLevel="0" collapsed="false">
      <c r="A1" s="1" t="s">
        <v>227</v>
      </c>
      <c r="B1" s="1" t="s">
        <v>0</v>
      </c>
      <c r="C1" s="1" t="s">
        <v>118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</row>
    <row r="2" customFormat="false" ht="21.75" hidden="false" customHeight="true" outlineLevel="0" collapsed="false">
      <c r="A2" s="2" t="s">
        <v>238</v>
      </c>
      <c r="B2" s="2" t="s">
        <v>13</v>
      </c>
      <c r="C2" s="2" t="s">
        <v>135</v>
      </c>
      <c r="D2" s="3" t="s">
        <v>239</v>
      </c>
      <c r="E2" s="2" t="s">
        <v>240</v>
      </c>
      <c r="F2" s="2" t="s">
        <v>241</v>
      </c>
      <c r="G2" s="4" t="n">
        <v>45000</v>
      </c>
      <c r="H2" s="5" t="s">
        <v>242</v>
      </c>
      <c r="I2" s="6" t="n">
        <v>0.6</v>
      </c>
      <c r="J2" s="2" t="s">
        <v>243</v>
      </c>
      <c r="K2" s="2" t="s">
        <v>244</v>
      </c>
      <c r="L2" s="2" t="s">
        <v>176</v>
      </c>
      <c r="M2" s="2" t="s">
        <v>245</v>
      </c>
    </row>
    <row r="3" customFormat="false" ht="21.75" hidden="false" customHeight="true" outlineLevel="0" collapsed="false">
      <c r="A3" s="2" t="s">
        <v>246</v>
      </c>
      <c r="B3" s="2" t="s">
        <v>33</v>
      </c>
      <c r="C3" s="2" t="s">
        <v>154</v>
      </c>
      <c r="D3" s="3" t="s">
        <v>247</v>
      </c>
      <c r="E3" s="3" t="s">
        <v>248</v>
      </c>
      <c r="F3" s="2" t="s">
        <v>249</v>
      </c>
      <c r="G3" s="4" t="n">
        <v>120000</v>
      </c>
      <c r="H3" s="7" t="s">
        <v>250</v>
      </c>
      <c r="I3" s="6" t="n">
        <v>0.8</v>
      </c>
      <c r="J3" s="2" t="s">
        <v>251</v>
      </c>
      <c r="K3" s="2" t="s">
        <v>252</v>
      </c>
      <c r="L3" s="2" t="s">
        <v>253</v>
      </c>
      <c r="M3" s="3" t="s">
        <v>254</v>
      </c>
    </row>
    <row r="4" customFormat="false" ht="21.75" hidden="false" customHeight="true" outlineLevel="0" collapsed="false">
      <c r="A4" s="2" t="s">
        <v>255</v>
      </c>
      <c r="B4" s="2" t="s">
        <v>43</v>
      </c>
      <c r="C4" s="2" t="s">
        <v>162</v>
      </c>
      <c r="D4" s="3" t="s">
        <v>256</v>
      </c>
      <c r="E4" s="3" t="s">
        <v>257</v>
      </c>
      <c r="F4" s="2" t="s">
        <v>258</v>
      </c>
      <c r="G4" s="4" t="n">
        <v>28000</v>
      </c>
      <c r="H4" s="8" t="s">
        <v>259</v>
      </c>
      <c r="I4" s="6" t="n">
        <v>0.2</v>
      </c>
      <c r="J4" s="2" t="s">
        <v>260</v>
      </c>
      <c r="K4" s="2" t="s">
        <v>261</v>
      </c>
      <c r="L4" s="2" t="s">
        <v>262</v>
      </c>
      <c r="M4" s="2" t="s">
        <v>263</v>
      </c>
    </row>
    <row r="5" customFormat="false" ht="21.75" hidden="false" customHeight="true" outlineLevel="0" collapsed="false">
      <c r="A5" s="2" t="s">
        <v>264</v>
      </c>
      <c r="B5" s="2" t="s">
        <v>52</v>
      </c>
      <c r="C5" s="2" t="s">
        <v>170</v>
      </c>
      <c r="D5" s="3" t="s">
        <v>239</v>
      </c>
      <c r="E5" s="3" t="s">
        <v>265</v>
      </c>
      <c r="F5" s="2" t="s">
        <v>266</v>
      </c>
      <c r="G5" s="4" t="n">
        <v>15000</v>
      </c>
      <c r="H5" s="9" t="s">
        <v>267</v>
      </c>
      <c r="I5" s="6" t="n">
        <v>0.3</v>
      </c>
      <c r="J5" s="2" t="s">
        <v>268</v>
      </c>
      <c r="K5" s="2" t="s">
        <v>269</v>
      </c>
      <c r="L5" s="2" t="s">
        <v>192</v>
      </c>
      <c r="M5" s="3" t="s">
        <v>270</v>
      </c>
    </row>
    <row r="6" customFormat="false" ht="21.75" hidden="false" customHeight="true" outlineLevel="0" collapsed="false">
      <c r="A6" s="2" t="s">
        <v>271</v>
      </c>
      <c r="B6" s="2" t="s">
        <v>70</v>
      </c>
      <c r="C6" s="2" t="s">
        <v>186</v>
      </c>
      <c r="D6" s="3" t="s">
        <v>272</v>
      </c>
      <c r="E6" s="3" t="s">
        <v>273</v>
      </c>
      <c r="F6" s="2" t="s">
        <v>274</v>
      </c>
      <c r="G6" s="4" t="n">
        <v>85000</v>
      </c>
      <c r="H6" s="5" t="s">
        <v>242</v>
      </c>
      <c r="I6" s="6" t="n">
        <v>0.5</v>
      </c>
      <c r="J6" s="2" t="s">
        <v>275</v>
      </c>
      <c r="K6" s="2" t="s">
        <v>276</v>
      </c>
      <c r="L6" s="2" t="s">
        <v>226</v>
      </c>
      <c r="M6" s="3" t="s">
        <v>277</v>
      </c>
    </row>
    <row r="7" customFormat="false" ht="21.75" hidden="false" customHeight="true" outlineLevel="0" collapsed="false">
      <c r="A7" s="2" t="s">
        <v>278</v>
      </c>
      <c r="B7" s="2" t="s">
        <v>94</v>
      </c>
      <c r="C7" s="2" t="s">
        <v>205</v>
      </c>
      <c r="D7" s="3" t="s">
        <v>247</v>
      </c>
      <c r="E7" s="2" t="s">
        <v>279</v>
      </c>
      <c r="F7" s="2" t="s">
        <v>280</v>
      </c>
      <c r="G7" s="4" t="n">
        <v>35000</v>
      </c>
      <c r="H7" s="7" t="s">
        <v>250</v>
      </c>
      <c r="I7" s="6" t="n">
        <v>0.75</v>
      </c>
      <c r="J7" s="2" t="s">
        <v>281</v>
      </c>
      <c r="K7" s="2" t="s">
        <v>282</v>
      </c>
      <c r="L7" s="2" t="s">
        <v>283</v>
      </c>
      <c r="M7" s="3" t="s">
        <v>284</v>
      </c>
    </row>
    <row r="8" customFormat="false" ht="21.75" hidden="false" customHeight="true" outlineLevel="0" collapsed="false">
      <c r="A8" s="2" t="s">
        <v>285</v>
      </c>
      <c r="B8" s="2" t="s">
        <v>23</v>
      </c>
      <c r="C8" s="2" t="s">
        <v>144</v>
      </c>
      <c r="D8" s="3" t="s">
        <v>256</v>
      </c>
      <c r="E8" s="2" t="s">
        <v>286</v>
      </c>
      <c r="F8" s="2" t="s">
        <v>287</v>
      </c>
      <c r="G8" s="4" t="n">
        <v>12000</v>
      </c>
      <c r="H8" s="10" t="s">
        <v>288</v>
      </c>
      <c r="I8" s="6" t="n">
        <v>1</v>
      </c>
      <c r="J8" s="2" t="s">
        <v>289</v>
      </c>
      <c r="K8" s="2" t="s">
        <v>290</v>
      </c>
      <c r="L8" s="2" t="s">
        <v>289</v>
      </c>
      <c r="M8" s="3" t="s">
        <v>291</v>
      </c>
    </row>
    <row r="9" customFormat="false" ht="21.75" hidden="false" customHeight="true" outlineLevel="0" collapsed="false">
      <c r="A9" s="2" t="s">
        <v>292</v>
      </c>
      <c r="B9" s="2" t="s">
        <v>78</v>
      </c>
      <c r="C9" s="2" t="s">
        <v>193</v>
      </c>
      <c r="D9" s="3" t="s">
        <v>272</v>
      </c>
      <c r="E9" s="3" t="s">
        <v>293</v>
      </c>
      <c r="F9" s="2" t="s">
        <v>294</v>
      </c>
      <c r="G9" s="4" t="n">
        <v>55000</v>
      </c>
      <c r="H9" s="9" t="s">
        <v>267</v>
      </c>
      <c r="I9" s="6" t="n">
        <v>0.25</v>
      </c>
      <c r="J9" s="2" t="s">
        <v>295</v>
      </c>
      <c r="K9" s="2" t="s">
        <v>161</v>
      </c>
      <c r="L9" s="2" t="s">
        <v>296</v>
      </c>
      <c r="M9" s="3" t="s">
        <v>297</v>
      </c>
    </row>
    <row r="10" customFormat="false" ht="21.75" hidden="false" customHeight="true" outlineLevel="0" collapsed="false">
      <c r="A10" s="2" t="s">
        <v>298</v>
      </c>
      <c r="B10" s="2" t="s">
        <v>86</v>
      </c>
      <c r="C10" s="2" t="s">
        <v>197</v>
      </c>
      <c r="D10" s="3" t="s">
        <v>239</v>
      </c>
      <c r="E10" s="2" t="s">
        <v>299</v>
      </c>
      <c r="F10" s="2" t="s">
        <v>300</v>
      </c>
      <c r="G10" s="4" t="n">
        <v>8000</v>
      </c>
      <c r="H10" s="8" t="s">
        <v>259</v>
      </c>
      <c r="I10" s="6" t="n">
        <v>0.15</v>
      </c>
      <c r="J10" s="2" t="s">
        <v>301</v>
      </c>
      <c r="K10" s="2" t="s">
        <v>192</v>
      </c>
      <c r="L10" s="2" t="s">
        <v>302</v>
      </c>
      <c r="M10" s="3" t="s">
        <v>303</v>
      </c>
    </row>
    <row r="11" customFormat="false" ht="21.75" hidden="false" customHeight="true" outlineLevel="0" collapsed="false">
      <c r="A11" s="2" t="s">
        <v>304</v>
      </c>
      <c r="B11" s="2" t="s">
        <v>102</v>
      </c>
      <c r="C11" s="2" t="s">
        <v>212</v>
      </c>
      <c r="D11" s="3" t="s">
        <v>247</v>
      </c>
      <c r="E11" s="2" t="s">
        <v>305</v>
      </c>
      <c r="F11" s="2" t="s">
        <v>306</v>
      </c>
      <c r="G11" s="4" t="n">
        <v>42000</v>
      </c>
      <c r="H11" s="5" t="s">
        <v>242</v>
      </c>
      <c r="I11" s="6" t="n">
        <v>0.55</v>
      </c>
      <c r="J11" s="2" t="s">
        <v>307</v>
      </c>
      <c r="K11" s="2" t="s">
        <v>134</v>
      </c>
      <c r="L11" s="2" t="s">
        <v>308</v>
      </c>
      <c r="M11" s="2" t="s">
        <v>309</v>
      </c>
    </row>
    <row r="12" customFormat="false" ht="21.75" hidden="false" customHeight="true" outlineLevel="0" collapsed="false">
      <c r="A12" s="2" t="s">
        <v>310</v>
      </c>
      <c r="B12" s="2" t="s">
        <v>13</v>
      </c>
      <c r="C12" s="2" t="s">
        <v>127</v>
      </c>
      <c r="D12" s="3" t="s">
        <v>256</v>
      </c>
      <c r="E12" s="3" t="s">
        <v>311</v>
      </c>
      <c r="F12" s="3" t="s">
        <v>312</v>
      </c>
      <c r="G12" s="4" t="n">
        <v>18000</v>
      </c>
      <c r="H12" s="10" t="s">
        <v>288</v>
      </c>
      <c r="I12" s="6" t="n">
        <v>1</v>
      </c>
      <c r="J12" s="2" t="s">
        <v>185</v>
      </c>
      <c r="K12" s="2" t="s">
        <v>313</v>
      </c>
      <c r="L12" s="2" t="s">
        <v>185</v>
      </c>
      <c r="M12" s="3" t="s">
        <v>314</v>
      </c>
    </row>
    <row r="13" customFormat="false" ht="21.75" hidden="false" customHeight="true" outlineLevel="0" collapsed="false">
      <c r="A13" s="2" t="s">
        <v>315</v>
      </c>
      <c r="B13" s="2" t="s">
        <v>110</v>
      </c>
      <c r="C13" s="2" t="s">
        <v>220</v>
      </c>
      <c r="D13" s="3" t="s">
        <v>272</v>
      </c>
      <c r="E13" s="3" t="s">
        <v>316</v>
      </c>
      <c r="F13" s="2" t="s">
        <v>317</v>
      </c>
      <c r="G13" s="4" t="n">
        <v>22000</v>
      </c>
      <c r="H13" s="9" t="s">
        <v>267</v>
      </c>
      <c r="I13" s="6" t="n">
        <v>0.35</v>
      </c>
      <c r="J13" s="2" t="s">
        <v>318</v>
      </c>
      <c r="K13" s="2" t="s">
        <v>204</v>
      </c>
      <c r="L13" s="2" t="s">
        <v>211</v>
      </c>
      <c r="M13" s="3" t="s">
        <v>319</v>
      </c>
    </row>
    <row r="14" customFormat="false" ht="21.75" hidden="false" customHeight="true" outlineLevel="0" collapsed="false">
      <c r="A14" s="2" t="s">
        <v>320</v>
      </c>
      <c r="B14" s="2" t="s">
        <v>33</v>
      </c>
      <c r="C14" s="2" t="s">
        <v>149</v>
      </c>
      <c r="D14" s="3" t="s">
        <v>239</v>
      </c>
      <c r="E14" s="2" t="s">
        <v>321</v>
      </c>
      <c r="F14" s="2" t="s">
        <v>322</v>
      </c>
      <c r="G14" s="4" t="n">
        <v>95000</v>
      </c>
      <c r="H14" s="11" t="s">
        <v>323</v>
      </c>
      <c r="I14" s="6" t="n">
        <v>0</v>
      </c>
      <c r="J14" s="2" t="s">
        <v>289</v>
      </c>
      <c r="K14" s="2" t="s">
        <v>324</v>
      </c>
      <c r="L14" s="2" t="s">
        <v>269</v>
      </c>
      <c r="M14" s="3" t="s">
        <v>325</v>
      </c>
    </row>
    <row r="15" customFormat="false" ht="21.75" hidden="false" customHeight="true" outlineLevel="0" collapsed="false">
      <c r="A15" s="2" t="s">
        <v>326</v>
      </c>
      <c r="B15" s="2" t="s">
        <v>61</v>
      </c>
      <c r="C15" s="2" t="s">
        <v>177</v>
      </c>
      <c r="D15" s="3" t="s">
        <v>247</v>
      </c>
      <c r="E15" s="3" t="s">
        <v>327</v>
      </c>
      <c r="F15" s="2" t="s">
        <v>328</v>
      </c>
      <c r="G15" s="4" t="n">
        <v>9500</v>
      </c>
      <c r="H15" s="8" t="s">
        <v>259</v>
      </c>
      <c r="I15" s="6" t="n">
        <v>0.1</v>
      </c>
      <c r="J15" s="2" t="s">
        <v>329</v>
      </c>
      <c r="K15" s="2" t="s">
        <v>176</v>
      </c>
      <c r="L15" s="2" t="s">
        <v>330</v>
      </c>
      <c r="M15" s="3" t="s">
        <v>331</v>
      </c>
    </row>
  </sheetData>
  <autoFilter ref="A1:M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6.6"/>
    <col collapsed="false" customWidth="true" hidden="false" outlineLevel="0" max="10" min="8" style="0" width="14"/>
  </cols>
  <sheetData>
    <row r="1" customFormat="false" ht="27.75" hidden="false" customHeight="true" outlineLevel="0" collapsed="false">
      <c r="A1" s="1" t="s">
        <v>332</v>
      </c>
      <c r="B1" s="1" t="s">
        <v>227</v>
      </c>
      <c r="C1" s="1" t="s">
        <v>0</v>
      </c>
      <c r="D1" s="1" t="s">
        <v>228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</row>
    <row r="2" customFormat="false" ht="21.75" hidden="false" customHeight="true" outlineLevel="0" collapsed="false">
      <c r="A2" s="2" t="s">
        <v>339</v>
      </c>
      <c r="B2" s="2" t="s">
        <v>238</v>
      </c>
      <c r="C2" s="2" t="s">
        <v>13</v>
      </c>
      <c r="D2" s="3" t="s">
        <v>239</v>
      </c>
      <c r="E2" s="5" t="s">
        <v>340</v>
      </c>
      <c r="F2" s="2" t="s">
        <v>341</v>
      </c>
      <c r="G2" s="4" t="n">
        <v>90</v>
      </c>
      <c r="H2" s="2" t="s">
        <v>342</v>
      </c>
      <c r="I2" s="3" t="s">
        <v>343</v>
      </c>
      <c r="J2" s="2" t="s">
        <v>344</v>
      </c>
    </row>
    <row r="3" customFormat="false" ht="21.75" hidden="false" customHeight="true" outlineLevel="0" collapsed="false">
      <c r="A3" s="2" t="s">
        <v>345</v>
      </c>
      <c r="B3" s="2" t="s">
        <v>238</v>
      </c>
      <c r="C3" s="2" t="s">
        <v>13</v>
      </c>
      <c r="D3" s="3" t="s">
        <v>239</v>
      </c>
      <c r="E3" s="12" t="s">
        <v>346</v>
      </c>
      <c r="F3" s="2" t="s">
        <v>134</v>
      </c>
      <c r="G3" s="4" t="n">
        <v>120</v>
      </c>
      <c r="H3" s="3" t="s">
        <v>347</v>
      </c>
      <c r="I3" s="3" t="s">
        <v>348</v>
      </c>
      <c r="J3" s="2" t="s">
        <v>349</v>
      </c>
    </row>
    <row r="4" customFormat="false" ht="21.75" hidden="false" customHeight="true" outlineLevel="0" collapsed="false">
      <c r="A4" s="2" t="s">
        <v>350</v>
      </c>
      <c r="B4" s="2" t="s">
        <v>238</v>
      </c>
      <c r="C4" s="2" t="s">
        <v>13</v>
      </c>
      <c r="D4" s="3" t="s">
        <v>239</v>
      </c>
      <c r="E4" s="13" t="s">
        <v>351</v>
      </c>
      <c r="F4" s="2" t="s">
        <v>352</v>
      </c>
      <c r="G4" s="4" t="n">
        <v>180</v>
      </c>
      <c r="H4" s="2" t="s">
        <v>353</v>
      </c>
      <c r="I4" s="2" t="s">
        <v>354</v>
      </c>
      <c r="J4" s="2" t="s">
        <v>204</v>
      </c>
    </row>
    <row r="5" customFormat="false" ht="21.75" hidden="false" customHeight="true" outlineLevel="0" collapsed="false">
      <c r="A5" s="2" t="s">
        <v>355</v>
      </c>
      <c r="B5" s="2" t="s">
        <v>238</v>
      </c>
      <c r="C5" s="2" t="s">
        <v>13</v>
      </c>
      <c r="D5" s="3" t="s">
        <v>239</v>
      </c>
      <c r="E5" s="13" t="s">
        <v>351</v>
      </c>
      <c r="F5" s="2" t="s">
        <v>356</v>
      </c>
      <c r="G5" s="4" t="n">
        <v>150</v>
      </c>
      <c r="H5" s="2" t="s">
        <v>357</v>
      </c>
      <c r="I5" s="3" t="s">
        <v>358</v>
      </c>
      <c r="J5" s="2" t="s">
        <v>161</v>
      </c>
    </row>
    <row r="6" customFormat="false" ht="21.75" hidden="false" customHeight="true" outlineLevel="0" collapsed="false">
      <c r="A6" s="2" t="s">
        <v>359</v>
      </c>
      <c r="B6" s="2" t="s">
        <v>246</v>
      </c>
      <c r="C6" s="2" t="s">
        <v>33</v>
      </c>
      <c r="D6" s="3" t="s">
        <v>247</v>
      </c>
      <c r="E6" s="7" t="s">
        <v>360</v>
      </c>
      <c r="F6" s="2" t="s">
        <v>181</v>
      </c>
      <c r="G6" s="4" t="n">
        <v>240</v>
      </c>
      <c r="H6" s="3" t="s">
        <v>361</v>
      </c>
      <c r="I6" s="2" t="s">
        <v>362</v>
      </c>
      <c r="J6" s="2" t="s">
        <v>363</v>
      </c>
    </row>
    <row r="7" customFormat="false" ht="21.75" hidden="false" customHeight="true" outlineLevel="0" collapsed="false">
      <c r="A7" s="2" t="s">
        <v>364</v>
      </c>
      <c r="B7" s="2" t="s">
        <v>246</v>
      </c>
      <c r="C7" s="2" t="s">
        <v>33</v>
      </c>
      <c r="D7" s="3" t="s">
        <v>247</v>
      </c>
      <c r="E7" s="12" t="s">
        <v>346</v>
      </c>
      <c r="F7" s="2" t="s">
        <v>365</v>
      </c>
      <c r="G7" s="4" t="n">
        <v>180</v>
      </c>
      <c r="H7" s="3" t="s">
        <v>366</v>
      </c>
      <c r="I7" s="2" t="s">
        <v>367</v>
      </c>
      <c r="J7" s="2" t="s">
        <v>244</v>
      </c>
    </row>
    <row r="8" customFormat="false" ht="21.75" hidden="false" customHeight="true" outlineLevel="0" collapsed="false">
      <c r="A8" s="2" t="s">
        <v>368</v>
      </c>
      <c r="B8" s="2" t="s">
        <v>246</v>
      </c>
      <c r="C8" s="2" t="s">
        <v>33</v>
      </c>
      <c r="D8" s="3" t="s">
        <v>247</v>
      </c>
      <c r="E8" s="14" t="s">
        <v>369</v>
      </c>
      <c r="F8" s="2" t="s">
        <v>370</v>
      </c>
      <c r="G8" s="4" t="n">
        <v>120</v>
      </c>
      <c r="H8" s="3" t="s">
        <v>371</v>
      </c>
      <c r="I8" s="3" t="s">
        <v>372</v>
      </c>
      <c r="J8" s="2" t="s">
        <v>344</v>
      </c>
    </row>
    <row r="9" customFormat="false" ht="21.75" hidden="false" customHeight="true" outlineLevel="0" collapsed="false">
      <c r="A9" s="2" t="s">
        <v>373</v>
      </c>
      <c r="B9" s="2" t="s">
        <v>246</v>
      </c>
      <c r="C9" s="2" t="s">
        <v>33</v>
      </c>
      <c r="D9" s="3" t="s">
        <v>247</v>
      </c>
      <c r="E9" s="11" t="s">
        <v>250</v>
      </c>
      <c r="F9" s="2" t="s">
        <v>374</v>
      </c>
      <c r="G9" s="4" t="n">
        <v>90</v>
      </c>
      <c r="H9" s="2" t="s">
        <v>375</v>
      </c>
      <c r="I9" s="3" t="s">
        <v>376</v>
      </c>
      <c r="J9" s="2" t="s">
        <v>261</v>
      </c>
    </row>
    <row r="10" customFormat="false" ht="21.75" hidden="false" customHeight="true" outlineLevel="0" collapsed="false">
      <c r="A10" s="2" t="s">
        <v>377</v>
      </c>
      <c r="B10" s="2" t="s">
        <v>246</v>
      </c>
      <c r="C10" s="2" t="s">
        <v>33</v>
      </c>
      <c r="D10" s="3" t="s">
        <v>247</v>
      </c>
      <c r="E10" s="11" t="s">
        <v>250</v>
      </c>
      <c r="F10" s="2" t="s">
        <v>378</v>
      </c>
      <c r="G10" s="4" t="n">
        <v>60</v>
      </c>
      <c r="H10" s="3" t="s">
        <v>379</v>
      </c>
      <c r="I10" s="3" t="s">
        <v>380</v>
      </c>
      <c r="J10" s="2" t="s">
        <v>192</v>
      </c>
    </row>
    <row r="11" customFormat="false" ht="21.75" hidden="false" customHeight="true" outlineLevel="0" collapsed="false">
      <c r="A11" s="2" t="s">
        <v>381</v>
      </c>
      <c r="B11" s="2" t="s">
        <v>255</v>
      </c>
      <c r="C11" s="2" t="s">
        <v>43</v>
      </c>
      <c r="D11" s="3" t="s">
        <v>256</v>
      </c>
      <c r="E11" s="8" t="s">
        <v>382</v>
      </c>
      <c r="F11" s="2" t="s">
        <v>261</v>
      </c>
      <c r="G11" s="4" t="n">
        <v>15</v>
      </c>
      <c r="H11" s="3" t="s">
        <v>383</v>
      </c>
      <c r="I11" s="3" t="s">
        <v>384</v>
      </c>
      <c r="J11" s="2" t="s">
        <v>385</v>
      </c>
    </row>
    <row r="12" customFormat="false" ht="21.75" hidden="false" customHeight="true" outlineLevel="0" collapsed="false">
      <c r="A12" s="2" t="s">
        <v>386</v>
      </c>
      <c r="B12" s="2" t="s">
        <v>255</v>
      </c>
      <c r="C12" s="2" t="s">
        <v>43</v>
      </c>
      <c r="D12" s="3" t="s">
        <v>256</v>
      </c>
      <c r="E12" s="9" t="s">
        <v>122</v>
      </c>
      <c r="F12" s="2" t="s">
        <v>219</v>
      </c>
      <c r="G12" s="4" t="n">
        <v>30</v>
      </c>
      <c r="H12" s="3" t="s">
        <v>387</v>
      </c>
      <c r="I12" s="3" t="s">
        <v>388</v>
      </c>
      <c r="J12" s="2" t="s">
        <v>378</v>
      </c>
    </row>
    <row r="13" customFormat="false" ht="21.75" hidden="false" customHeight="true" outlineLevel="0" collapsed="false">
      <c r="A13" s="2" t="s">
        <v>389</v>
      </c>
      <c r="B13" s="2" t="s">
        <v>255</v>
      </c>
      <c r="C13" s="2" t="s">
        <v>43</v>
      </c>
      <c r="D13" s="3" t="s">
        <v>256</v>
      </c>
      <c r="E13" s="5" t="s">
        <v>340</v>
      </c>
      <c r="F13" s="2" t="s">
        <v>262</v>
      </c>
      <c r="G13" s="4" t="n">
        <v>60</v>
      </c>
      <c r="H13" s="2" t="s">
        <v>390</v>
      </c>
      <c r="I13" s="2" t="s">
        <v>391</v>
      </c>
      <c r="J13" s="2" t="s">
        <v>283</v>
      </c>
    </row>
    <row r="14" customFormat="false" ht="21.75" hidden="false" customHeight="true" outlineLevel="0" collapsed="false">
      <c r="A14" s="2" t="s">
        <v>392</v>
      </c>
      <c r="B14" s="2" t="s">
        <v>271</v>
      </c>
      <c r="C14" s="2" t="s">
        <v>70</v>
      </c>
      <c r="D14" s="3" t="s">
        <v>272</v>
      </c>
      <c r="E14" s="5" t="s">
        <v>340</v>
      </c>
      <c r="F14" s="2" t="s">
        <v>393</v>
      </c>
      <c r="G14" s="4" t="n">
        <v>120</v>
      </c>
      <c r="H14" s="2" t="s">
        <v>394</v>
      </c>
      <c r="I14" s="3" t="s">
        <v>395</v>
      </c>
      <c r="J14" s="2" t="s">
        <v>396</v>
      </c>
    </row>
    <row r="15" customFormat="false" ht="21.75" hidden="false" customHeight="true" outlineLevel="0" collapsed="false">
      <c r="A15" s="2" t="s">
        <v>397</v>
      </c>
      <c r="B15" s="2" t="s">
        <v>271</v>
      </c>
      <c r="C15" s="2" t="s">
        <v>70</v>
      </c>
      <c r="D15" s="3" t="s">
        <v>272</v>
      </c>
      <c r="E15" s="15" t="s">
        <v>398</v>
      </c>
      <c r="F15" s="2" t="s">
        <v>341</v>
      </c>
      <c r="G15" s="4" t="n">
        <v>240</v>
      </c>
      <c r="H15" s="3" t="s">
        <v>399</v>
      </c>
      <c r="I15" s="3" t="s">
        <v>400</v>
      </c>
      <c r="J15" s="2" t="s">
        <v>134</v>
      </c>
    </row>
    <row r="16" customFormat="false" ht="21.75" hidden="false" customHeight="true" outlineLevel="0" collapsed="false">
      <c r="A16" s="2" t="s">
        <v>401</v>
      </c>
      <c r="B16" s="2" t="s">
        <v>271</v>
      </c>
      <c r="C16" s="2" t="s">
        <v>70</v>
      </c>
      <c r="D16" s="3" t="s">
        <v>272</v>
      </c>
      <c r="E16" s="12" t="s">
        <v>346</v>
      </c>
      <c r="F16" s="2" t="s">
        <v>402</v>
      </c>
      <c r="G16" s="4" t="n">
        <v>150</v>
      </c>
      <c r="H16" s="3" t="s">
        <v>403</v>
      </c>
      <c r="I16" s="2" t="s">
        <v>404</v>
      </c>
      <c r="J16" s="2" t="s">
        <v>405</v>
      </c>
    </row>
    <row r="17" customFormat="false" ht="21.75" hidden="false" customHeight="true" outlineLevel="0" collapsed="false">
      <c r="A17" s="2" t="s">
        <v>406</v>
      </c>
      <c r="B17" s="2" t="s">
        <v>278</v>
      </c>
      <c r="C17" s="2" t="s">
        <v>94</v>
      </c>
      <c r="D17" s="3" t="s">
        <v>247</v>
      </c>
      <c r="E17" s="5" t="s">
        <v>340</v>
      </c>
      <c r="F17" s="2" t="s">
        <v>407</v>
      </c>
      <c r="G17" s="4" t="n">
        <v>90</v>
      </c>
      <c r="H17" s="2" t="s">
        <v>408</v>
      </c>
      <c r="I17" s="3" t="s">
        <v>409</v>
      </c>
      <c r="J17" s="2" t="s">
        <v>365</v>
      </c>
    </row>
    <row r="18" customFormat="false" ht="21.75" hidden="false" customHeight="true" outlineLevel="0" collapsed="false">
      <c r="A18" s="2" t="s">
        <v>410</v>
      </c>
      <c r="B18" s="2" t="s">
        <v>278</v>
      </c>
      <c r="C18" s="2" t="s">
        <v>94</v>
      </c>
      <c r="D18" s="3" t="s">
        <v>247</v>
      </c>
      <c r="E18" s="13" t="s">
        <v>351</v>
      </c>
      <c r="F18" s="2" t="s">
        <v>396</v>
      </c>
      <c r="G18" s="4" t="n">
        <v>120</v>
      </c>
      <c r="H18" s="2" t="s">
        <v>411</v>
      </c>
      <c r="I18" s="3" t="s">
        <v>412</v>
      </c>
      <c r="J18" s="2" t="s">
        <v>413</v>
      </c>
    </row>
    <row r="19" customFormat="false" ht="21.75" hidden="false" customHeight="true" outlineLevel="0" collapsed="false">
      <c r="A19" s="2" t="s">
        <v>414</v>
      </c>
      <c r="B19" s="2" t="s">
        <v>278</v>
      </c>
      <c r="C19" s="2" t="s">
        <v>94</v>
      </c>
      <c r="D19" s="3" t="s">
        <v>247</v>
      </c>
      <c r="E19" s="11" t="s">
        <v>250</v>
      </c>
      <c r="F19" s="2" t="s">
        <v>385</v>
      </c>
      <c r="G19" s="4" t="n">
        <v>60</v>
      </c>
      <c r="H19" s="3" t="s">
        <v>415</v>
      </c>
      <c r="I19" s="3" t="s">
        <v>416</v>
      </c>
      <c r="J19" s="2" t="s">
        <v>262</v>
      </c>
    </row>
    <row r="20" customFormat="false" ht="21.75" hidden="false" customHeight="true" outlineLevel="0" collapsed="false">
      <c r="A20" s="2" t="s">
        <v>417</v>
      </c>
      <c r="B20" s="2" t="s">
        <v>285</v>
      </c>
      <c r="C20" s="2" t="s">
        <v>23</v>
      </c>
      <c r="D20" s="3" t="s">
        <v>256</v>
      </c>
      <c r="E20" s="10" t="s">
        <v>418</v>
      </c>
      <c r="F20" s="2" t="s">
        <v>289</v>
      </c>
      <c r="G20" s="4" t="n">
        <v>30</v>
      </c>
      <c r="H20" s="2" t="s">
        <v>419</v>
      </c>
      <c r="I20" s="3" t="s">
        <v>420</v>
      </c>
      <c r="J20" s="2" t="s">
        <v>421</v>
      </c>
    </row>
    <row r="21" customFormat="false" ht="21.75" hidden="false" customHeight="true" outlineLevel="0" collapsed="false">
      <c r="A21" s="2" t="s">
        <v>422</v>
      </c>
      <c r="B21" s="2" t="s">
        <v>304</v>
      </c>
      <c r="C21" s="2" t="s">
        <v>102</v>
      </c>
      <c r="D21" s="3" t="s">
        <v>247</v>
      </c>
      <c r="E21" s="16" t="s">
        <v>423</v>
      </c>
      <c r="F21" s="2" t="s">
        <v>161</v>
      </c>
      <c r="G21" s="4" t="n">
        <v>480</v>
      </c>
      <c r="H21" s="2" t="s">
        <v>424</v>
      </c>
      <c r="I21" s="2" t="s">
        <v>425</v>
      </c>
      <c r="J21" s="2" t="s">
        <v>176</v>
      </c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.6"/>
    <col collapsed="false" customWidth="true" hidden="false" outlineLevel="0" max="3" min="3" style="0" width="14"/>
    <col collapsed="false" customWidth="true" hidden="false" outlineLevel="0" max="5" min="4" style="0" width="14.8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" t="s">
        <v>426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</row>
    <row r="2" customFormat="false" ht="21.75" hidden="false" customHeight="true" outlineLevel="0" collapsed="false">
      <c r="A2" s="2" t="s">
        <v>432</v>
      </c>
      <c r="B2" s="2" t="s">
        <v>241</v>
      </c>
      <c r="C2" s="2" t="s">
        <v>433</v>
      </c>
      <c r="D2" s="4" t="n">
        <v>3000</v>
      </c>
      <c r="E2" s="3" t="s">
        <v>434</v>
      </c>
      <c r="F2" s="3" t="s">
        <v>435</v>
      </c>
    </row>
    <row r="3" customFormat="false" ht="21.75" hidden="false" customHeight="true" outlineLevel="0" collapsed="false">
      <c r="A3" s="2" t="s">
        <v>436</v>
      </c>
      <c r="B3" s="2" t="s">
        <v>249</v>
      </c>
      <c r="C3" s="3" t="s">
        <v>437</v>
      </c>
      <c r="D3" s="4" t="n">
        <v>5000</v>
      </c>
      <c r="E3" s="3" t="s">
        <v>438</v>
      </c>
      <c r="F3" s="3" t="s">
        <v>439</v>
      </c>
    </row>
    <row r="4" customFormat="false" ht="21.75" hidden="false" customHeight="true" outlineLevel="0" collapsed="false">
      <c r="A4" s="2" t="s">
        <v>440</v>
      </c>
      <c r="B4" s="2" t="s">
        <v>258</v>
      </c>
      <c r="C4" s="3" t="s">
        <v>441</v>
      </c>
      <c r="D4" s="4" t="n">
        <v>200</v>
      </c>
      <c r="E4" s="3" t="s">
        <v>442</v>
      </c>
      <c r="F4" s="3" t="s">
        <v>443</v>
      </c>
    </row>
    <row r="5" customFormat="false" ht="21.75" hidden="false" customHeight="true" outlineLevel="0" collapsed="false">
      <c r="A5" s="2" t="s">
        <v>444</v>
      </c>
      <c r="B5" s="2" t="s">
        <v>266</v>
      </c>
      <c r="C5" s="3" t="s">
        <v>445</v>
      </c>
      <c r="D5" s="4" t="n">
        <v>800</v>
      </c>
      <c r="E5" s="3" t="s">
        <v>434</v>
      </c>
      <c r="F5" s="3" t="s">
        <v>446</v>
      </c>
    </row>
    <row r="6" customFormat="false" ht="21.75" hidden="false" customHeight="true" outlineLevel="0" collapsed="false">
      <c r="A6" s="2" t="s">
        <v>447</v>
      </c>
      <c r="B6" s="2" t="s">
        <v>274</v>
      </c>
      <c r="C6" s="3" t="s">
        <v>448</v>
      </c>
      <c r="D6" s="4" t="n">
        <v>1500</v>
      </c>
      <c r="E6" s="3" t="s">
        <v>434</v>
      </c>
      <c r="F6" s="3" t="s">
        <v>449</v>
      </c>
    </row>
    <row r="7" customFormat="false" ht="21.75" hidden="false" customHeight="true" outlineLevel="0" collapsed="false">
      <c r="A7" s="2" t="s">
        <v>450</v>
      </c>
      <c r="B7" s="2" t="s">
        <v>280</v>
      </c>
      <c r="C7" s="3" t="s">
        <v>451</v>
      </c>
      <c r="D7" s="4" t="n">
        <v>1200</v>
      </c>
      <c r="E7" s="3" t="s">
        <v>452</v>
      </c>
      <c r="F7" s="2" t="s">
        <v>453</v>
      </c>
    </row>
    <row r="8" customFormat="false" ht="21.75" hidden="false" customHeight="true" outlineLevel="0" collapsed="false">
      <c r="A8" s="2" t="s">
        <v>454</v>
      </c>
      <c r="B8" s="2" t="s">
        <v>287</v>
      </c>
      <c r="C8" s="2" t="s">
        <v>455</v>
      </c>
      <c r="D8" s="4" t="n">
        <v>150</v>
      </c>
      <c r="E8" s="3" t="s">
        <v>442</v>
      </c>
      <c r="F8" s="3" t="s">
        <v>456</v>
      </c>
    </row>
    <row r="9" customFormat="false" ht="21.75" hidden="false" customHeight="true" outlineLevel="0" collapsed="false">
      <c r="A9" s="2" t="s">
        <v>457</v>
      </c>
      <c r="B9" s="2" t="s">
        <v>294</v>
      </c>
      <c r="C9" s="3" t="s">
        <v>458</v>
      </c>
      <c r="D9" s="4" t="n">
        <v>2000</v>
      </c>
      <c r="E9" s="3" t="s">
        <v>438</v>
      </c>
      <c r="F9" s="3" t="s">
        <v>459</v>
      </c>
    </row>
    <row r="10" customFormat="false" ht="21.75" hidden="false" customHeight="true" outlineLevel="0" collapsed="false">
      <c r="A10" s="2" t="s">
        <v>460</v>
      </c>
      <c r="B10" s="2" t="s">
        <v>300</v>
      </c>
      <c r="C10" s="2" t="s">
        <v>461</v>
      </c>
      <c r="D10" s="4" t="n">
        <v>500</v>
      </c>
      <c r="E10" s="3" t="s">
        <v>442</v>
      </c>
      <c r="F10" s="2" t="s">
        <v>462</v>
      </c>
    </row>
    <row r="11" customFormat="false" ht="21.75" hidden="false" customHeight="true" outlineLevel="0" collapsed="false">
      <c r="A11" s="2" t="s">
        <v>463</v>
      </c>
      <c r="B11" s="2" t="s">
        <v>306</v>
      </c>
      <c r="C11" s="3" t="s">
        <v>441</v>
      </c>
      <c r="D11" s="4" t="n">
        <v>1800</v>
      </c>
      <c r="E11" s="3" t="s">
        <v>434</v>
      </c>
      <c r="F11" s="3" t="s">
        <v>464</v>
      </c>
    </row>
    <row r="12" customFormat="false" ht="21.75" hidden="false" customHeight="true" outlineLevel="0" collapsed="false">
      <c r="A12" s="2" t="s">
        <v>465</v>
      </c>
      <c r="B12" s="3" t="s">
        <v>312</v>
      </c>
      <c r="C12" s="3" t="s">
        <v>466</v>
      </c>
      <c r="D12" s="4" t="n">
        <v>80</v>
      </c>
      <c r="E12" s="3" t="s">
        <v>442</v>
      </c>
      <c r="F12" s="3" t="s">
        <v>467</v>
      </c>
    </row>
    <row r="13" customFormat="false" ht="21.75" hidden="false" customHeight="true" outlineLevel="0" collapsed="false">
      <c r="A13" s="2" t="s">
        <v>468</v>
      </c>
      <c r="B13" s="2" t="s">
        <v>317</v>
      </c>
      <c r="C13" s="3" t="s">
        <v>469</v>
      </c>
      <c r="D13" s="4" t="n">
        <v>300</v>
      </c>
      <c r="E13" s="3" t="s">
        <v>442</v>
      </c>
      <c r="F13" s="3" t="s">
        <v>470</v>
      </c>
    </row>
    <row r="14" customFormat="false" ht="21.75" hidden="false" customHeight="true" outlineLevel="0" collapsed="false">
      <c r="A14" s="2" t="s">
        <v>471</v>
      </c>
      <c r="B14" s="2" t="s">
        <v>322</v>
      </c>
      <c r="C14" s="3" t="s">
        <v>472</v>
      </c>
      <c r="D14" s="4" t="n">
        <v>4000</v>
      </c>
      <c r="E14" s="3" t="s">
        <v>434</v>
      </c>
      <c r="F14" s="3" t="s">
        <v>473</v>
      </c>
    </row>
    <row r="15" customFormat="false" ht="21.75" hidden="false" customHeight="true" outlineLevel="0" collapsed="false">
      <c r="A15" s="2" t="s">
        <v>474</v>
      </c>
      <c r="B15" s="2" t="s">
        <v>328</v>
      </c>
      <c r="C15" s="2" t="s">
        <v>475</v>
      </c>
      <c r="D15" s="4" t="n">
        <v>350</v>
      </c>
      <c r="E15" s="3" t="s">
        <v>452</v>
      </c>
      <c r="F15" s="3" t="s">
        <v>476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39.75" hidden="false" customHeight="true" outlineLevel="0" collapsed="false">
      <c r="A1" s="17" t="s">
        <v>477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18" t="s">
        <v>478</v>
      </c>
    </row>
    <row r="4" customFormat="false" ht="17.15" hidden="false" customHeight="false" outlineLevel="0" collapsed="false">
      <c r="A4" s="1" t="s">
        <v>232</v>
      </c>
      <c r="B4" s="1" t="s">
        <v>479</v>
      </c>
      <c r="C4" s="1" t="s">
        <v>480</v>
      </c>
      <c r="D4" s="1" t="s">
        <v>481</v>
      </c>
      <c r="E4" s="1" t="s">
        <v>482</v>
      </c>
    </row>
    <row r="5" customFormat="false" ht="15" hidden="false" customHeight="false" outlineLevel="0" collapsed="false">
      <c r="A5" s="19" t="s">
        <v>259</v>
      </c>
      <c r="B5" s="19" t="n">
        <v>2</v>
      </c>
      <c r="C5" s="20" t="n">
        <f aca="false">SUMPRODUCT((영업기회!H2:H15="초기접촉")*영업기회!G2:G15)</f>
        <v>45500</v>
      </c>
      <c r="D5" s="20" t="n">
        <f aca="false">C5*E5</f>
        <v>6825</v>
      </c>
      <c r="E5" s="21" t="n">
        <f aca="false">AVERAGEIF(영업기회!H2:H15,"초기접촉",영업기회!I2:I15)</f>
        <v>0.15</v>
      </c>
    </row>
    <row r="6" customFormat="false" ht="15" hidden="false" customHeight="false" outlineLevel="0" collapsed="false">
      <c r="A6" s="19" t="s">
        <v>267</v>
      </c>
      <c r="B6" s="19" t="n">
        <v>3</v>
      </c>
      <c r="C6" s="20" t="n">
        <f aca="false">SUMPRODUCT((영업기회!H2:H15="니즈파악")*영업기회!G2:G15)</f>
        <v>92000</v>
      </c>
      <c r="D6" s="20" t="n">
        <f aca="false">C6*E6</f>
        <v>27600</v>
      </c>
      <c r="E6" s="21" t="n">
        <f aca="false">AVERAGEIF(영업기회!H2:H15,"니즈파악",영업기회!I2:I15)</f>
        <v>0.3</v>
      </c>
    </row>
    <row r="7" customFormat="false" ht="15" hidden="false" customHeight="false" outlineLevel="0" collapsed="false">
      <c r="A7" s="19" t="s">
        <v>242</v>
      </c>
      <c r="B7" s="19" t="n">
        <v>3</v>
      </c>
      <c r="C7" s="20" t="n">
        <f aca="false">SUMPRODUCT((영업기회!H2:H15="제안/PT")*영업기회!G2:G15)</f>
        <v>172000</v>
      </c>
      <c r="D7" s="20" t="n">
        <f aca="false">C7*E7</f>
        <v>94600</v>
      </c>
      <c r="E7" s="21" t="n">
        <f aca="false">AVERAGEIF(영업기회!H2:H15,"제안/PT",영업기회!I2:I15)</f>
        <v>0.55</v>
      </c>
    </row>
    <row r="8" customFormat="false" ht="15" hidden="false" customHeight="false" outlineLevel="0" collapsed="false">
      <c r="A8" s="19" t="s">
        <v>250</v>
      </c>
      <c r="B8" s="19" t="n">
        <v>2</v>
      </c>
      <c r="C8" s="20" t="n">
        <f aca="false">SUMPRODUCT((영업기회!H2:H15="협상")*영업기회!G2:G15)</f>
        <v>155000</v>
      </c>
      <c r="D8" s="20" t="n">
        <f aca="false">C8*E8</f>
        <v>120125</v>
      </c>
      <c r="E8" s="21" t="n">
        <f aca="false">AVERAGEIF(영업기회!H2:H15,"협상",영업기회!I2:I15)</f>
        <v>0.775</v>
      </c>
    </row>
    <row r="9" customFormat="false" ht="15" hidden="false" customHeight="false" outlineLevel="0" collapsed="false">
      <c r="A9" s="19" t="s">
        <v>288</v>
      </c>
      <c r="B9" s="19" t="n">
        <v>2</v>
      </c>
      <c r="C9" s="20" t="n">
        <f aca="false">SUMPRODUCT((영업기회!H2:H15="계약완료")*영업기회!G2:G15)</f>
        <v>30000</v>
      </c>
      <c r="D9" s="20" t="n">
        <f aca="false">C9*E9</f>
        <v>30000</v>
      </c>
      <c r="E9" s="21" t="n">
        <f aca="false">AVERAGEIF(영업기회!H2:H15,"계약완료",영업기회!I2:I15)</f>
        <v>1</v>
      </c>
    </row>
    <row r="10" customFormat="false" ht="15" hidden="false" customHeight="false" outlineLevel="0" collapsed="false">
      <c r="A10" s="19" t="s">
        <v>323</v>
      </c>
      <c r="B10" s="19" t="n">
        <v>1</v>
      </c>
      <c r="C10" s="20" t="n">
        <f aca="false">SUMPRODUCT((영업기회!H2:H15="실주/보류")*영업기회!G2:G15)</f>
        <v>95000</v>
      </c>
      <c r="D10" s="20" t="n">
        <f aca="false">C10*E10</f>
        <v>0</v>
      </c>
      <c r="E10" s="21" t="n">
        <f aca="false">AVERAGEIF(영업기회!H2:H15,"실주/보류",영업기회!I2:I15)</f>
        <v>0</v>
      </c>
    </row>
    <row r="11" customFormat="false" ht="15" hidden="false" customHeight="false" outlineLevel="0" collapsed="false">
      <c r="A11" s="22" t="s">
        <v>483</v>
      </c>
      <c r="B11" s="22" t="n">
        <f aca="false">SUM(B5:B10)</f>
        <v>13</v>
      </c>
      <c r="C11" s="23" t="n">
        <f aca="false">SUM(C5:C10)</f>
        <v>589500</v>
      </c>
      <c r="D11" s="23" t="n">
        <f aca="false">SUM(D5:D10)</f>
        <v>279150</v>
      </c>
      <c r="E11" s="24"/>
    </row>
    <row r="13" customFormat="false" ht="15" hidden="false" customHeight="false" outlineLevel="0" collapsed="false">
      <c r="A13" s="18" t="s">
        <v>484</v>
      </c>
    </row>
    <row r="14" customFormat="false" ht="17.15" hidden="false" customHeight="false" outlineLevel="0" collapsed="false">
      <c r="A14" s="1" t="s">
        <v>228</v>
      </c>
      <c r="B14" s="1" t="s">
        <v>485</v>
      </c>
      <c r="C14" s="1" t="s">
        <v>480</v>
      </c>
      <c r="D14" s="1" t="s">
        <v>486</v>
      </c>
    </row>
    <row r="15" customFormat="false" ht="15" hidden="false" customHeight="false" outlineLevel="0" collapsed="false">
      <c r="A15" s="19" t="s">
        <v>239</v>
      </c>
      <c r="B15" s="19" t="n">
        <f aca="false">COUNTIF(영업기회!D2:D15,"김영호")</f>
        <v>4</v>
      </c>
      <c r="C15" s="20" t="n">
        <f aca="false">SUMIF(영업기회!D2:D15,"김영호",영업기회!G2:G15)</f>
        <v>163000</v>
      </c>
      <c r="D15" s="19" t="n">
        <f aca="false">COUNTIFS(영업기회!D2:D15,"김영호",영업기회!H2:H15,"계약완료")</f>
        <v>0</v>
      </c>
    </row>
    <row r="16" customFormat="false" ht="15" hidden="false" customHeight="false" outlineLevel="0" collapsed="false">
      <c r="A16" s="19" t="s">
        <v>247</v>
      </c>
      <c r="B16" s="19" t="n">
        <f aca="false">COUNTIF(영업기회!D2:D15,"박서연")</f>
        <v>4</v>
      </c>
      <c r="C16" s="20" t="n">
        <f aca="false">SUMIF(영업기회!D2:D15,"박서연",영업기회!G2:G15)</f>
        <v>206500</v>
      </c>
      <c r="D16" s="19" t="n">
        <f aca="false">COUNTIFS(영업기회!D2:D15,"박서연",영업기회!H2:H15,"계약완료")</f>
        <v>0</v>
      </c>
    </row>
    <row r="17" customFormat="false" ht="15" hidden="false" customHeight="false" outlineLevel="0" collapsed="false">
      <c r="A17" s="19" t="s">
        <v>256</v>
      </c>
      <c r="B17" s="19" t="n">
        <f aca="false">COUNTIF(영업기회!D2:D15,"이준혁")</f>
        <v>3</v>
      </c>
      <c r="C17" s="20" t="n">
        <f aca="false">SUMIF(영업기회!D2:D15,"이준혁",영업기회!G2:G15)</f>
        <v>58000</v>
      </c>
      <c r="D17" s="19" t="n">
        <f aca="false">COUNTIFS(영업기회!D2:D15,"이준혁",영업기회!H2:H15,"계약완료")</f>
        <v>2</v>
      </c>
    </row>
    <row r="18" customFormat="false" ht="15" hidden="false" customHeight="false" outlineLevel="0" collapsed="false">
      <c r="A18" s="19" t="s">
        <v>272</v>
      </c>
      <c r="B18" s="19" t="n">
        <f aca="false">COUNTIF(영업기회!D2:D15,"최다은")</f>
        <v>3</v>
      </c>
      <c r="C18" s="20" t="n">
        <f aca="false">SUMIF(영업기회!D2:D15,"최다은",영업기회!G2:G15)</f>
        <v>162000</v>
      </c>
      <c r="D18" s="19" t="n">
        <f aca="false">COUNTIFS(영업기회!D2:D15,"최다은",영업기회!H2:H15,"계약완료")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2026-04-12T18:36:04Z</dcterms:created>
  <dc:creator>openpyxl</dc:creator>
  <dc:description/>
  <dc:language>en-US</dc:language>
  <cp:lastModifiedBy/>
  <dcterms:modified xsi:type="dcterms:W3CDTF">2026-04-12T18:36:05Z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